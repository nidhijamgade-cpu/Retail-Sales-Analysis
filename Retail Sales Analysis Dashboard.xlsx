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30afd4877b83a330/Documents/"/>
    </mc:Choice>
  </mc:AlternateContent>
  <xr:revisionPtr revIDLastSave="775" documentId="8_{592D65E8-E6D2-450A-AAB0-3776D52F4FD0}" xr6:coauthVersionLast="47" xr6:coauthVersionMax="47" xr10:uidLastSave="{13088ED2-6E6C-4AE8-A393-29E37363A0E0}"/>
  <bookViews>
    <workbookView xWindow="-108" yWindow="-108" windowWidth="23256" windowHeight="13896" firstSheet="1" activeTab="5" xr2:uid="{446D9582-8001-4D8D-B5F7-518B84C89422}"/>
  </bookViews>
  <sheets>
    <sheet name="Customers" sheetId="2" r:id="rId1"/>
    <sheet name="Orders" sheetId="3" r:id="rId2"/>
    <sheet name="Order details" sheetId="6" r:id="rId3"/>
    <sheet name="Payments" sheetId="5" r:id="rId4"/>
    <sheet name="Products" sheetId="4" r:id="rId5"/>
    <sheet name="Dashboard" sheetId="13" r:id="rId6"/>
    <sheet name="Analysis" sheetId="12" r:id="rId7"/>
  </sheets>
  <definedNames>
    <definedName name="_xlcn.WorksheetConnection_RetailSalesAnalysisDashboard.xlsxCustomers1" hidden="1">Customers[]</definedName>
    <definedName name="_xlcn.WorksheetConnection_RetailSalesAnalysisDashboard.xlsxOrder_details1" hidden="1">Order_details[]</definedName>
    <definedName name="_xlcn.WorksheetConnection_RetailSalesAnalysisDashboard.xlsxOrders1" hidden="1">Orders[]</definedName>
    <definedName name="_xlcn.WorksheetConnection_RetailSalesAnalysisDashboard.xlsxPayments1" hidden="1">Payments[]</definedName>
    <definedName name="_xlcn.WorksheetConnection_RetailSalesAnalysisDashboard.xlsxProducts1" hidden="1">Products[]</definedName>
    <definedName name="ExternalData_1" localSheetId="0" hidden="1">'Customers'!$A$1:$E$11</definedName>
    <definedName name="ExternalData_2" localSheetId="1" hidden="1">Orders!$A$1:$D$16</definedName>
    <definedName name="ExternalData_3" localSheetId="4" hidden="1">Products!$A$1:$D$11</definedName>
    <definedName name="ExternalData_4" localSheetId="3" hidden="1">Payments!$A$1:$F$16</definedName>
    <definedName name="ExternalData_5" localSheetId="2" hidden="1">'Order details'!$A$1:$D$27</definedName>
    <definedName name="Slicer_order_date__Month">#N/A</definedName>
    <definedName name="Slicer_order_status">#N/A</definedName>
    <definedName name="Slicer_payment_method">#N/A</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s>
  <extLst>
    <ext xmlns:x14="http://schemas.microsoft.com/office/spreadsheetml/2009/9/main" uri="{876F7934-8845-4945-9796-88D515C7AA90}">
      <x14:pivotCaches>
        <pivotCache cacheId="9" r:id="rId17"/>
      </x14:pivotCaches>
    </ext>
    <ext xmlns:x14="http://schemas.microsoft.com/office/spreadsheetml/2009/9/main" uri="{BBE1A952-AA13-448e-AADC-164F8A28A991}">
      <x14:slicerCaches>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Retail Sales Analysis Dashboard.xlsx!Customers"/>
          <x15:modelTable id="Orders" name="Orders" connection="WorksheetConnection_Retail Sales Analysis Dashboard.xlsx!Orders"/>
          <x15:modelTable id="Order_details" name="Order_details" connection="WorksheetConnection_Retail Sales Analysis Dashboard.xlsx!Order_details"/>
          <x15:modelTable id="Payments" name="Payments" connection="WorksheetConnection_Retail Sales Analysis Dashboard.xlsx!Payments"/>
          <x15:modelTable id="Products" name="Products" connection="WorksheetConnection_Retail Sales Analysis Dashboard.xlsx!Products"/>
        </x15:modelTables>
        <x15:modelRelationships>
          <x15:modelRelationship fromTable="Orders" fromColumn="customer_id" toTable="Customers" toColumn="customer_id"/>
          <x15:modelRelationship fromTable="Orders" fromColumn="order_id" toTable="Payments" toColumn="order_id"/>
          <x15:modelRelationship fromTable="Order_details" fromColumn="order_id" toTable="Orders" toColumn="order_id"/>
          <x15:modelRelationship fromTable="Order_details" fromColumn="product_id" toTable="Products" toColumn="product_id"/>
        </x15:modelRelationships>
        <x15:extLst>
          <ext xmlns:x16="http://schemas.microsoft.com/office/spreadsheetml/2014/11/main" uri="{9835A34E-60A6-4A7C-AAB8-D5F71C897F49}">
            <x16:modelTimeGroupings>
              <x16:modelTimeGrouping tableName="Orders" columnName="order_date" columnId="order_date">
                <x16:calculatedTimeColumn columnName="order_date (Year)" columnId="order_date (Year)" contentType="years" isSelected="0"/>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3" l="1"/>
  <c r="E4" i="3"/>
  <c r="E5" i="3"/>
  <c r="E6" i="3"/>
  <c r="E7" i="3"/>
  <c r="E8" i="3"/>
  <c r="E9" i="3"/>
  <c r="E10" i="3"/>
  <c r="E11" i="3"/>
  <c r="E12" i="3"/>
  <c r="E13" i="3"/>
  <c r="E14" i="3"/>
  <c r="E15" i="3"/>
  <c r="E16" i="3"/>
  <c r="E2" i="3"/>
  <c r="G2" i="6"/>
  <c r="G10" i="6"/>
  <c r="G6" i="6"/>
  <c r="G20" i="6"/>
  <c r="G13" i="6"/>
  <c r="G16" i="6"/>
  <c r="G18" i="6"/>
  <c r="G3" i="6"/>
  <c r="G23" i="6"/>
  <c r="G7" i="6"/>
  <c r="G11" i="6"/>
  <c r="G14" i="6"/>
  <c r="G19" i="6"/>
  <c r="G21" i="6"/>
  <c r="G4" i="6"/>
  <c r="G24" i="6"/>
  <c r="G17" i="6"/>
  <c r="G25" i="6"/>
  <c r="G8" i="6"/>
  <c r="G12" i="6"/>
  <c r="G27" i="6"/>
  <c r="G15" i="6"/>
  <c r="G5" i="6"/>
  <c r="G22" i="6"/>
  <c r="G9" i="6"/>
  <c r="G26" i="6"/>
  <c r="F2" i="6"/>
  <c r="F10" i="6"/>
  <c r="F6" i="6"/>
  <c r="F20" i="6"/>
  <c r="F13" i="6"/>
  <c r="F16" i="6"/>
  <c r="F18" i="6"/>
  <c r="F3" i="6"/>
  <c r="F23" i="6"/>
  <c r="F7" i="6"/>
  <c r="F11" i="6"/>
  <c r="F14" i="6"/>
  <c r="F19" i="6"/>
  <c r="F21" i="6"/>
  <c r="F4" i="6"/>
  <c r="F24" i="6"/>
  <c r="F17" i="6"/>
  <c r="F25" i="6"/>
  <c r="F8" i="6"/>
  <c r="F12" i="6"/>
  <c r="F27" i="6"/>
  <c r="F15" i="6"/>
  <c r="F5" i="6"/>
  <c r="F22" i="6"/>
  <c r="F9" i="6"/>
  <c r="F26" i="6"/>
  <c r="E2" i="6"/>
  <c r="E10" i="6"/>
  <c r="E6" i="6"/>
  <c r="E20" i="6"/>
  <c r="E13" i="6"/>
  <c r="E16" i="6"/>
  <c r="E18" i="6"/>
  <c r="E3" i="6"/>
  <c r="E23" i="6"/>
  <c r="E7" i="6"/>
  <c r="E11" i="6"/>
  <c r="E14" i="6"/>
  <c r="E19" i="6"/>
  <c r="E21" i="6"/>
  <c r="E4" i="6"/>
  <c r="E24" i="6"/>
  <c r="E17" i="6"/>
  <c r="E25" i="6"/>
  <c r="E8" i="6"/>
  <c r="E12" i="6"/>
  <c r="E27" i="6"/>
  <c r="E15" i="6"/>
  <c r="E5" i="6"/>
  <c r="E22" i="6"/>
  <c r="E9" i="6"/>
  <c r="E26" i="6"/>
  <c r="E2" i="1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1A5B43D-A575-42ED-8CFD-75CE0E45181D}"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79723ACE-8897-4FBE-A161-15FC6458929C}" keepAlive="1" name="Query - Order details" description="Connection to the 'Order details' query in the workbook." type="5" refreshedVersion="8" background="1" saveData="1">
    <dbPr connection="Provider=Microsoft.Mashup.OleDb.1;Data Source=$Workbook$;Location=&quot;Order details&quot;;Extended Properties=&quot;&quot;" command="SELECT * FROM [Order details]"/>
  </connection>
  <connection id="3" xr16:uid="{A769545E-C532-4CA0-96A4-C7B5BDFAA7B7}"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4" xr16:uid="{4140819F-9D43-40B1-B58A-FEB0AD1835CB}" keepAlive="1" name="Query - Payments" description="Connection to the 'Payments' query in the workbook." type="5" refreshedVersion="8" background="1" saveData="1">
    <dbPr connection="Provider=Microsoft.Mashup.OleDb.1;Data Source=$Workbook$;Location=Payments;Extended Properties=&quot;&quot;" command="SELECT * FROM [Payments]"/>
  </connection>
  <connection id="5" xr16:uid="{948514E0-5A09-485E-9F2E-E04ADB975F94}"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6" xr16:uid="{A6585DD7-CB70-467E-8D17-205B593B80C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39788D90-EAE2-46CA-A40B-21307806137F}" name="WorksheetConnection_Retail Sales Analysis Dashboard.xlsx!Customers" type="102" refreshedVersion="8" minRefreshableVersion="5">
    <extLst>
      <ext xmlns:x15="http://schemas.microsoft.com/office/spreadsheetml/2010/11/main" uri="{DE250136-89BD-433C-8126-D09CA5730AF9}">
        <x15:connection id="Customers">
          <x15:rangePr sourceName="_xlcn.WorksheetConnection_RetailSalesAnalysisDashboard.xlsxCustomers1"/>
        </x15:connection>
      </ext>
    </extLst>
  </connection>
  <connection id="8" xr16:uid="{C0913D64-FB52-4A8D-96EB-A081CA134DBF}" name="WorksheetConnection_Retail Sales Analysis Dashboard.xlsx!Order_details" type="102" refreshedVersion="8" minRefreshableVersion="5">
    <extLst>
      <ext xmlns:x15="http://schemas.microsoft.com/office/spreadsheetml/2010/11/main" uri="{DE250136-89BD-433C-8126-D09CA5730AF9}">
        <x15:connection id="Order_details">
          <x15:rangePr sourceName="_xlcn.WorksheetConnection_RetailSalesAnalysisDashboard.xlsxOrder_details1"/>
        </x15:connection>
      </ext>
    </extLst>
  </connection>
  <connection id="9" xr16:uid="{B633734D-C9B3-423F-8F0B-5425E55A85A1}" name="WorksheetConnection_Retail Sales Analysis Dashboard.xlsx!Orders" type="102" refreshedVersion="8" minRefreshableVersion="5">
    <extLst>
      <ext xmlns:x15="http://schemas.microsoft.com/office/spreadsheetml/2010/11/main" uri="{DE250136-89BD-433C-8126-D09CA5730AF9}">
        <x15:connection id="Orders">
          <x15:rangePr sourceName="_xlcn.WorksheetConnection_RetailSalesAnalysisDashboard.xlsxOrders1"/>
        </x15:connection>
      </ext>
    </extLst>
  </connection>
  <connection id="10" xr16:uid="{067EE65F-C9B7-4052-BFB5-175B1516BC1E}" name="WorksheetConnection_Retail Sales Analysis Dashboard.xlsx!Payments" type="102" refreshedVersion="8" minRefreshableVersion="5">
    <extLst>
      <ext xmlns:x15="http://schemas.microsoft.com/office/spreadsheetml/2010/11/main" uri="{DE250136-89BD-433C-8126-D09CA5730AF9}">
        <x15:connection id="Payments">
          <x15:rangePr sourceName="_xlcn.WorksheetConnection_RetailSalesAnalysisDashboard.xlsxPayments1"/>
        </x15:connection>
      </ext>
    </extLst>
  </connection>
  <connection id="11" xr16:uid="{44A47F8C-1996-43A1-A759-EDA4B7A3F9EF}" name="WorksheetConnection_Retail Sales Analysis Dashboard.xlsx!Products" type="102" refreshedVersion="8" minRefreshableVersion="5">
    <extLst>
      <ext xmlns:x15="http://schemas.microsoft.com/office/spreadsheetml/2010/11/main" uri="{DE250136-89BD-433C-8126-D09CA5730AF9}">
        <x15:connection id="Products">
          <x15:rangePr sourceName="_xlcn.WorksheetConnection_RetailSalesAnalysisDashboard.xlsxProducts1"/>
        </x15:connection>
      </ext>
    </extLst>
  </connection>
</connections>
</file>

<file path=xl/sharedStrings.xml><?xml version="1.0" encoding="utf-8"?>
<sst xmlns="http://schemas.openxmlformats.org/spreadsheetml/2006/main" count="177" uniqueCount="89">
  <si>
    <t>customer_id</t>
  </si>
  <si>
    <t>customer_name</t>
  </si>
  <si>
    <t>city</t>
  </si>
  <si>
    <t>state</t>
  </si>
  <si>
    <t>signup_date</t>
  </si>
  <si>
    <t>Amit Sharma</t>
  </si>
  <si>
    <t>Mumbai</t>
  </si>
  <si>
    <t>Maharashtra</t>
  </si>
  <si>
    <t>Priya Patel</t>
  </si>
  <si>
    <t>Pune</t>
  </si>
  <si>
    <t>Rahul Verma</t>
  </si>
  <si>
    <t>Delhi</t>
  </si>
  <si>
    <t>Sneha Joshi</t>
  </si>
  <si>
    <t>Nagpur</t>
  </si>
  <si>
    <t>Vikram Singh</t>
  </si>
  <si>
    <t>Bangalore</t>
  </si>
  <si>
    <t>Karnataka</t>
  </si>
  <si>
    <t>Neha Gupta</t>
  </si>
  <si>
    <t>Hyderabad</t>
  </si>
  <si>
    <t>Telangana</t>
  </si>
  <si>
    <t>Arjun Mehta</t>
  </si>
  <si>
    <t>Kavya Rao</t>
  </si>
  <si>
    <t>Chennai</t>
  </si>
  <si>
    <t>Tamil Nadu</t>
  </si>
  <si>
    <t>Rohan Das</t>
  </si>
  <si>
    <t>Kolkata</t>
  </si>
  <si>
    <t>West Bengal</t>
  </si>
  <si>
    <t>Pooja Shah</t>
  </si>
  <si>
    <t>Ahmedabad</t>
  </si>
  <si>
    <t>Gujarat</t>
  </si>
  <si>
    <t>order_id</t>
  </si>
  <si>
    <t>order_date</t>
  </si>
  <si>
    <t>order_status</t>
  </si>
  <si>
    <t>Delivered</t>
  </si>
  <si>
    <t>Cancelled</t>
  </si>
  <si>
    <t>Pending</t>
  </si>
  <si>
    <t>product_id</t>
  </si>
  <si>
    <t>product_name</t>
  </si>
  <si>
    <t>category</t>
  </si>
  <si>
    <t>price</t>
  </si>
  <si>
    <t>Laptop</t>
  </si>
  <si>
    <t>Electronics</t>
  </si>
  <si>
    <t>Smartphone</t>
  </si>
  <si>
    <t>Headphones</t>
  </si>
  <si>
    <t>Office Chair</t>
  </si>
  <si>
    <t>Furniture</t>
  </si>
  <si>
    <t>Desk</t>
  </si>
  <si>
    <t>Backpack</t>
  </si>
  <si>
    <t>Accessories</t>
  </si>
  <si>
    <t>Keyboard</t>
  </si>
  <si>
    <t>Mouse</t>
  </si>
  <si>
    <t>Water Bottle</t>
  </si>
  <si>
    <t>Lifestyle</t>
  </si>
  <si>
    <t>Notebook</t>
  </si>
  <si>
    <t>Stationery</t>
  </si>
  <si>
    <t>payment_id</t>
  </si>
  <si>
    <t>payment_date</t>
  </si>
  <si>
    <t>payment_method</t>
  </si>
  <si>
    <t>amount</t>
  </si>
  <si>
    <t>payment_status</t>
  </si>
  <si>
    <t>Credit Card</t>
  </si>
  <si>
    <t>Paid</t>
  </si>
  <si>
    <t>UPI</t>
  </si>
  <si>
    <t>Refunded</t>
  </si>
  <si>
    <t>Debit Card</t>
  </si>
  <si>
    <t>Cash</t>
  </si>
  <si>
    <t>order_detail_id</t>
  </si>
  <si>
    <t>quantity</t>
  </si>
  <si>
    <t>Revenue</t>
  </si>
  <si>
    <t>Row Labels</t>
  </si>
  <si>
    <t>Grand Total</t>
  </si>
  <si>
    <t>Jan</t>
  </si>
  <si>
    <t>Apr</t>
  </si>
  <si>
    <t>Feb</t>
  </si>
  <si>
    <t>Mar</t>
  </si>
  <si>
    <t>May</t>
  </si>
  <si>
    <t>2024</t>
  </si>
  <si>
    <t>Count of order_id</t>
  </si>
  <si>
    <t>Category</t>
  </si>
  <si>
    <t>Sum of Revenue</t>
  </si>
  <si>
    <t>Sum of amount</t>
  </si>
  <si>
    <t>Product Name</t>
  </si>
  <si>
    <t>City</t>
  </si>
  <si>
    <t>RETAIL SALES ANALYSIS DASHBOARD</t>
  </si>
  <si>
    <t>Sum of quantity</t>
  </si>
  <si>
    <t>Distinct Count of customer_id</t>
  </si>
  <si>
    <t>order_date (Year)</t>
  </si>
  <si>
    <t>order_date (Month)</t>
  </si>
  <si>
    <t>Avg order Vlaue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</si>
</sst>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35"/>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1" fillId="0" borderId="1" xfId="0" applyFont="1" applyBorder="1" applyAlignment="1">
      <alignment horizontal="center"/>
    </xf>
    <xf numFmtId="0" fontId="0" fillId="0" borderId="1" xfId="0" applyBorder="1" applyAlignment="1">
      <alignment horizontal="center"/>
    </xf>
  </cellXfs>
  <cellStyles count="1">
    <cellStyle name="Normal" xfId="0" builtinId="0"/>
  </cellStyles>
  <dxfs count="15">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07/relationships/slicerCache" Target="slicerCaches/slicerCache1.xml"/><Relationship Id="rId26" Type="http://schemas.microsoft.com/office/2017/10/relationships/person" Target="persons/person.xml"/><Relationship Id="rId39" Type="http://schemas.openxmlformats.org/officeDocument/2006/relationships/customXml" Target="../customXml/item12.xml"/><Relationship Id="rId21" Type="http://schemas.openxmlformats.org/officeDocument/2006/relationships/theme" Target="theme/theme1.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sharedStrings" Target="sharedString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styles" Target="style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3.xml"/><Relationship Id="rId19" Type="http://schemas.microsoft.com/office/2007/relationships/slicerCache" Target="slicerCaches/slicerCache2.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connections" Target="connections.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powerPivotData" Target="model/item.data"/><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07/relationships/slicerCache" Target="slicerCaches/slicerCache3.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 Dashboard.xlsx]Analysis!PivotTable19</c:name>
    <c:fmtId val="11"/>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Monthly Orders</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Analysis!$C$5</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Analysis!$A$6:$B$11</c:f>
              <c:multiLvlStrCache>
                <c:ptCount val="5"/>
                <c:lvl>
                  <c:pt idx="0">
                    <c:v>Jan</c:v>
                  </c:pt>
                  <c:pt idx="1">
                    <c:v>Feb</c:v>
                  </c:pt>
                  <c:pt idx="2">
                    <c:v>Mar</c:v>
                  </c:pt>
                  <c:pt idx="3">
                    <c:v>Apr</c:v>
                  </c:pt>
                  <c:pt idx="4">
                    <c:v>May</c:v>
                  </c:pt>
                </c:lvl>
                <c:lvl>
                  <c:pt idx="0">
                    <c:v>2024</c:v>
                  </c:pt>
                </c:lvl>
              </c:multiLvlStrCache>
            </c:multiLvlStrRef>
          </c:cat>
          <c:val>
            <c:numRef>
              <c:f>Analysis!$C$6:$C$11</c:f>
              <c:numCache>
                <c:formatCode>General</c:formatCode>
                <c:ptCount val="5"/>
                <c:pt idx="0">
                  <c:v>3</c:v>
                </c:pt>
                <c:pt idx="1">
                  <c:v>3</c:v>
                </c:pt>
                <c:pt idx="2">
                  <c:v>4</c:v>
                </c:pt>
                <c:pt idx="3">
                  <c:v>3</c:v>
                </c:pt>
                <c:pt idx="4">
                  <c:v>2</c:v>
                </c:pt>
              </c:numCache>
            </c:numRef>
          </c:val>
          <c:smooth val="0"/>
          <c:extLst>
            <c:ext xmlns:c16="http://schemas.microsoft.com/office/drawing/2014/chart" uri="{C3380CC4-5D6E-409C-BE32-E72D297353CC}">
              <c16:uniqueId val="{00000001-A1AE-40E5-8E8F-7ECDF922A479}"/>
            </c:ext>
          </c:extLst>
        </c:ser>
        <c:dLbls>
          <c:dLblPos val="t"/>
          <c:showLegendKey val="0"/>
          <c:showVal val="1"/>
          <c:showCatName val="0"/>
          <c:showSerName val="0"/>
          <c:showPercent val="0"/>
          <c:showBubbleSize val="0"/>
        </c:dLbls>
        <c:smooth val="0"/>
        <c:axId val="808757023"/>
        <c:axId val="2074835088"/>
      </c:lineChart>
      <c:catAx>
        <c:axId val="808757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2074835088"/>
        <c:crosses val="autoZero"/>
        <c:auto val="1"/>
        <c:lblAlgn val="ctr"/>
        <c:lblOffset val="100"/>
        <c:noMultiLvlLbl val="0"/>
      </c:catAx>
      <c:valAx>
        <c:axId val="2074835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808757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 Dashboard.xlsx]Analysis!PivotTable20</c:name>
    <c:fmtId val="5"/>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Analysis!$B$29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Analysis!$A$30:$A$35</c:f>
              <c:strCache>
                <c:ptCount val="5"/>
                <c:pt idx="0">
                  <c:v>Accessories</c:v>
                </c:pt>
                <c:pt idx="1">
                  <c:v>Electronics</c:v>
                </c:pt>
                <c:pt idx="2">
                  <c:v>Furniture</c:v>
                </c:pt>
                <c:pt idx="3">
                  <c:v>Lifestyle</c:v>
                </c:pt>
                <c:pt idx="4">
                  <c:v>Stationery</c:v>
                </c:pt>
              </c:strCache>
            </c:strRef>
          </c:cat>
          <c:val>
            <c:numRef>
              <c:f>Analysis!$B$30:$B$35</c:f>
              <c:numCache>
                <c:formatCode>General</c:formatCode>
                <c:ptCount val="5"/>
                <c:pt idx="0">
                  <c:v>9000</c:v>
                </c:pt>
                <c:pt idx="1">
                  <c:v>390900</c:v>
                </c:pt>
                <c:pt idx="2">
                  <c:v>49500</c:v>
                </c:pt>
                <c:pt idx="3">
                  <c:v>3000</c:v>
                </c:pt>
                <c:pt idx="4">
                  <c:v>1250</c:v>
                </c:pt>
              </c:numCache>
            </c:numRef>
          </c:val>
          <c:extLst>
            <c:ext xmlns:c16="http://schemas.microsoft.com/office/drawing/2014/chart" uri="{C3380CC4-5D6E-409C-BE32-E72D297353CC}">
              <c16:uniqueId val="{00000005-9DCB-46CC-B5DD-CEAC70F716B6}"/>
            </c:ext>
          </c:extLst>
        </c:ser>
        <c:dLbls>
          <c:dLblPos val="outEnd"/>
          <c:showLegendKey val="0"/>
          <c:showVal val="1"/>
          <c:showCatName val="0"/>
          <c:showSerName val="0"/>
          <c:showPercent val="0"/>
          <c:showBubbleSize val="0"/>
        </c:dLbls>
        <c:gapWidth val="219"/>
        <c:overlap val="-27"/>
        <c:axId val="808916175"/>
        <c:axId val="2069033776"/>
      </c:barChart>
      <c:catAx>
        <c:axId val="808916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2069033776"/>
        <c:crosses val="autoZero"/>
        <c:auto val="1"/>
        <c:lblAlgn val="ctr"/>
        <c:lblOffset val="100"/>
        <c:noMultiLvlLbl val="0"/>
      </c:catAx>
      <c:valAx>
        <c:axId val="2069033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808916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 Dashboard.xlsx]Analysis!PivotTable21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ysClr val="windowText" lastClr="000000"/>
                </a:solidFill>
              </a:rPr>
              <a:t>Top 5 Products</a:t>
            </a:r>
            <a:r>
              <a:rPr lang="en-IN" b="1" baseline="0">
                <a:solidFill>
                  <a:sysClr val="windowText" lastClr="000000"/>
                </a:solidFill>
              </a:rPr>
              <a:t> by Revenue</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Analysis!$H$4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Analysis!$G$5:$G$10</c:f>
              <c:strCache>
                <c:ptCount val="5"/>
                <c:pt idx="0">
                  <c:v>Desk</c:v>
                </c:pt>
                <c:pt idx="1">
                  <c:v>Headphones</c:v>
                </c:pt>
                <c:pt idx="2">
                  <c:v>Laptop</c:v>
                </c:pt>
                <c:pt idx="3">
                  <c:v>Office Chair</c:v>
                </c:pt>
                <c:pt idx="4">
                  <c:v>Smartphone</c:v>
                </c:pt>
              </c:strCache>
            </c:strRef>
          </c:cat>
          <c:val>
            <c:numRef>
              <c:f>Analysis!$H$5:$H$10</c:f>
              <c:numCache>
                <c:formatCode>General</c:formatCode>
                <c:ptCount val="5"/>
                <c:pt idx="0">
                  <c:v>24000</c:v>
                </c:pt>
                <c:pt idx="1">
                  <c:v>12500</c:v>
                </c:pt>
                <c:pt idx="2">
                  <c:v>220000</c:v>
                </c:pt>
                <c:pt idx="3">
                  <c:v>25500</c:v>
                </c:pt>
                <c:pt idx="4">
                  <c:v>150000</c:v>
                </c:pt>
              </c:numCache>
            </c:numRef>
          </c:val>
          <c:extLst>
            <c:ext xmlns:c16="http://schemas.microsoft.com/office/drawing/2014/chart" uri="{C3380CC4-5D6E-409C-BE32-E72D297353CC}">
              <c16:uniqueId val="{00000001-83D8-4BE1-A0E5-EED5D1280758}"/>
            </c:ext>
          </c:extLst>
        </c:ser>
        <c:dLbls>
          <c:dLblPos val="outEnd"/>
          <c:showLegendKey val="0"/>
          <c:showVal val="1"/>
          <c:showCatName val="0"/>
          <c:showSerName val="0"/>
          <c:showPercent val="0"/>
          <c:showBubbleSize val="0"/>
        </c:dLbls>
        <c:gapWidth val="182"/>
        <c:axId val="707195951"/>
        <c:axId val="1930279568"/>
      </c:barChart>
      <c:catAx>
        <c:axId val="707195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30279568"/>
        <c:crosses val="autoZero"/>
        <c:auto val="1"/>
        <c:lblAlgn val="ctr"/>
        <c:lblOffset val="100"/>
        <c:noMultiLvlLbl val="0"/>
      </c:catAx>
      <c:valAx>
        <c:axId val="19302795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07195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 Dashboard.xlsx]Analysis!PivotTable22</c:name>
    <c:fmtId val="5"/>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IN"/>
              <a:t>Orders by City</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Analysis!$G$28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Analysis!$F$29:$F$38</c:f>
              <c:strCache>
                <c:ptCount val="9"/>
                <c:pt idx="0">
                  <c:v>Ahmedabad</c:v>
                </c:pt>
                <c:pt idx="1">
                  <c:v>Bangalore</c:v>
                </c:pt>
                <c:pt idx="2">
                  <c:v>Chennai</c:v>
                </c:pt>
                <c:pt idx="3">
                  <c:v>Delhi</c:v>
                </c:pt>
                <c:pt idx="4">
                  <c:v>Hyderabad</c:v>
                </c:pt>
                <c:pt idx="5">
                  <c:v>Kolkata</c:v>
                </c:pt>
                <c:pt idx="6">
                  <c:v>Mumbai</c:v>
                </c:pt>
                <c:pt idx="7">
                  <c:v>Nagpur</c:v>
                </c:pt>
                <c:pt idx="8">
                  <c:v>Pune</c:v>
                </c:pt>
              </c:strCache>
            </c:strRef>
          </c:cat>
          <c:val>
            <c:numRef>
              <c:f>Analysis!$G$29:$G$38</c:f>
              <c:numCache>
                <c:formatCode>General</c:formatCode>
                <c:ptCount val="9"/>
                <c:pt idx="0">
                  <c:v>1</c:v>
                </c:pt>
                <c:pt idx="1">
                  <c:v>2</c:v>
                </c:pt>
                <c:pt idx="2">
                  <c:v>1</c:v>
                </c:pt>
                <c:pt idx="3">
                  <c:v>2</c:v>
                </c:pt>
                <c:pt idx="4">
                  <c:v>1</c:v>
                </c:pt>
                <c:pt idx="5">
                  <c:v>1</c:v>
                </c:pt>
                <c:pt idx="6">
                  <c:v>4</c:v>
                </c:pt>
                <c:pt idx="7">
                  <c:v>2</c:v>
                </c:pt>
                <c:pt idx="8">
                  <c:v>1</c:v>
                </c:pt>
              </c:numCache>
            </c:numRef>
          </c:val>
          <c:extLst>
            <c:ext xmlns:c16="http://schemas.microsoft.com/office/drawing/2014/chart" uri="{C3380CC4-5D6E-409C-BE32-E72D297353CC}">
              <c16:uniqueId val="{00000001-D817-4B55-A025-878919907117}"/>
            </c:ext>
          </c:extLst>
        </c:ser>
        <c:dLbls>
          <c:dLblPos val="outEnd"/>
          <c:showLegendKey val="0"/>
          <c:showVal val="1"/>
          <c:showCatName val="0"/>
          <c:showSerName val="0"/>
          <c:showPercent val="0"/>
          <c:showBubbleSize val="0"/>
        </c:dLbls>
        <c:gapWidth val="219"/>
        <c:overlap val="-27"/>
        <c:axId val="808984383"/>
        <c:axId val="1059099920"/>
      </c:barChart>
      <c:catAx>
        <c:axId val="808984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059099920"/>
        <c:crosses val="autoZero"/>
        <c:auto val="1"/>
        <c:lblAlgn val="ctr"/>
        <c:lblOffset val="100"/>
        <c:noMultiLvlLbl val="0"/>
      </c:catAx>
      <c:valAx>
        <c:axId val="1059099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808984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 Dashboard.xlsx]Analysis!PivotTable24</c:name>
    <c:fmtId val="6"/>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Payemnt Method</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pieChart>
        <c:varyColors val="1"/>
        <c:ser>
          <c:idx val="0"/>
          <c:order val="0"/>
          <c:tx>
            <c:strRef>
              <c:f>Analysis!$G$47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2F2-4778-9BAA-376AAB9E2F8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2F2-4778-9BAA-376AAB9E2F8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2F2-4778-9BAA-376AAB9E2F8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2F2-4778-9BAA-376AAB9E2F86}"/>
              </c:ext>
            </c:extLst>
          </c:dPt>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Analysis!$F$48:$F$52</c:f>
              <c:strCache>
                <c:ptCount val="4"/>
                <c:pt idx="0">
                  <c:v>Cash</c:v>
                </c:pt>
                <c:pt idx="1">
                  <c:v>Credit Card</c:v>
                </c:pt>
                <c:pt idx="2">
                  <c:v>Debit Card</c:v>
                </c:pt>
                <c:pt idx="3">
                  <c:v>UPI</c:v>
                </c:pt>
              </c:strCache>
            </c:strRef>
          </c:cat>
          <c:val>
            <c:numRef>
              <c:f>Analysis!$G$48:$G$52</c:f>
              <c:numCache>
                <c:formatCode>General</c:formatCode>
                <c:ptCount val="4"/>
                <c:pt idx="0">
                  <c:v>6900</c:v>
                </c:pt>
                <c:pt idx="1">
                  <c:v>274800</c:v>
                </c:pt>
                <c:pt idx="2">
                  <c:v>21100</c:v>
                </c:pt>
                <c:pt idx="3">
                  <c:v>150100</c:v>
                </c:pt>
              </c:numCache>
            </c:numRef>
          </c:val>
          <c:extLst>
            <c:ext xmlns:c16="http://schemas.microsoft.com/office/drawing/2014/chart" uri="{C3380CC4-5D6E-409C-BE32-E72D297353CC}">
              <c16:uniqueId val="{00000008-42F2-4778-9BAA-376AAB9E2F86}"/>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1.xml"/><Relationship Id="rId7" Type="http://schemas.openxmlformats.org/officeDocument/2006/relationships/chart" Target="../charts/chart5.xml"/><Relationship Id="rId12" Type="http://schemas.openxmlformats.org/officeDocument/2006/relationships/image" Target="../media/image7.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image" Target="../media/image6.svg"/><Relationship Id="rId5" Type="http://schemas.openxmlformats.org/officeDocument/2006/relationships/chart" Target="../charts/chart3.xml"/><Relationship Id="rId15" Type="http://schemas.openxmlformats.org/officeDocument/2006/relationships/image" Target="../media/image10.svg"/><Relationship Id="rId10" Type="http://schemas.openxmlformats.org/officeDocument/2006/relationships/image" Target="../media/image5.png"/><Relationship Id="rId4" Type="http://schemas.openxmlformats.org/officeDocument/2006/relationships/chart" Target="../charts/chart2.xml"/><Relationship Id="rId9" Type="http://schemas.openxmlformats.org/officeDocument/2006/relationships/image" Target="../media/image4.sv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0</xdr:col>
      <xdr:colOff>20320</xdr:colOff>
      <xdr:row>4</xdr:row>
      <xdr:rowOff>44648</xdr:rowOff>
    </xdr:from>
    <xdr:to>
      <xdr:col>5</xdr:col>
      <xdr:colOff>182880</xdr:colOff>
      <xdr:row>9</xdr:row>
      <xdr:rowOff>134648</xdr:rowOff>
    </xdr:to>
    <xdr:grpSp>
      <xdr:nvGrpSpPr>
        <xdr:cNvPr id="19" name="Group 18">
          <a:extLst>
            <a:ext uri="{FF2B5EF4-FFF2-40B4-BE49-F238E27FC236}">
              <a16:creationId xmlns:a16="http://schemas.microsoft.com/office/drawing/2014/main" id="{D879CD17-9721-4372-9DDD-399E16243ED0}"/>
            </a:ext>
          </a:extLst>
        </xdr:cNvPr>
        <xdr:cNvGrpSpPr/>
      </xdr:nvGrpSpPr>
      <xdr:grpSpPr>
        <a:xfrm>
          <a:off x="20320" y="776168"/>
          <a:ext cx="3210560" cy="1004400"/>
          <a:chOff x="70184" y="569829"/>
          <a:chExt cx="2625781" cy="1110400"/>
        </a:xfrm>
      </xdr:grpSpPr>
      <xdr:sp macro="" textlink="">
        <xdr:nvSpPr>
          <xdr:cNvPr id="20" name="Rectangle 19">
            <a:extLst>
              <a:ext uri="{FF2B5EF4-FFF2-40B4-BE49-F238E27FC236}">
                <a16:creationId xmlns:a16="http://schemas.microsoft.com/office/drawing/2014/main" id="{9CBC3E51-0AE0-682F-2E84-B77E3AC6E68D}"/>
              </a:ext>
            </a:extLst>
          </xdr:cNvPr>
          <xdr:cNvSpPr/>
        </xdr:nvSpPr>
        <xdr:spPr>
          <a:xfrm>
            <a:off x="70184" y="569829"/>
            <a:ext cx="2625781" cy="105944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t>Total Orders</a:t>
            </a:r>
            <a:endParaRPr lang="en-IN" sz="1100" b="0" i="0" u="none" strike="noStrike">
              <a:solidFill>
                <a:schemeClr val="lt1"/>
              </a:solidFill>
              <a:effectLst/>
              <a:latin typeface="+mn-lt"/>
              <a:ea typeface="+mn-ea"/>
              <a:cs typeface="+mn-cs"/>
            </a:endParaRPr>
          </a:p>
          <a:p>
            <a:pPr algn="ctr"/>
            <a:endParaRPr lang="en-IN" sz="2000"/>
          </a:p>
        </xdr:txBody>
      </xdr:sp>
      <xdr:pic>
        <xdr:nvPicPr>
          <xdr:cNvPr id="22" name="Graphic 21" descr="Truck with solid fill">
            <a:extLst>
              <a:ext uri="{FF2B5EF4-FFF2-40B4-BE49-F238E27FC236}">
                <a16:creationId xmlns:a16="http://schemas.microsoft.com/office/drawing/2014/main" id="{8B12DC39-CA20-BB29-BAC8-DDB1AE07823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59763" y="768614"/>
            <a:ext cx="918856" cy="911615"/>
          </a:xfrm>
          <a:prstGeom prst="rect">
            <a:avLst/>
          </a:prstGeom>
        </xdr:spPr>
      </xdr:pic>
    </xdr:grpSp>
    <xdr:clientData/>
  </xdr:twoCellAnchor>
  <xdr:twoCellAnchor>
    <xdr:from>
      <xdr:col>0</xdr:col>
      <xdr:colOff>0</xdr:colOff>
      <xdr:row>9</xdr:row>
      <xdr:rowOff>162929</xdr:rowOff>
    </xdr:from>
    <xdr:to>
      <xdr:col>8</xdr:col>
      <xdr:colOff>505200</xdr:colOff>
      <xdr:row>24</xdr:row>
      <xdr:rowOff>180929</xdr:rowOff>
    </xdr:to>
    <xdr:graphicFrame macro="">
      <xdr:nvGraphicFramePr>
        <xdr:cNvPr id="2" name="Chart 1">
          <a:extLst>
            <a:ext uri="{FF2B5EF4-FFF2-40B4-BE49-F238E27FC236}">
              <a16:creationId xmlns:a16="http://schemas.microsoft.com/office/drawing/2014/main" id="{D2873D4F-A319-4993-B9A2-7DDE9DF25F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25</xdr:row>
      <xdr:rowOff>30301</xdr:rowOff>
    </xdr:from>
    <xdr:to>
      <xdr:col>8</xdr:col>
      <xdr:colOff>510752</xdr:colOff>
      <xdr:row>40</xdr:row>
      <xdr:rowOff>66865</xdr:rowOff>
    </xdr:to>
    <xdr:graphicFrame macro="">
      <xdr:nvGraphicFramePr>
        <xdr:cNvPr id="3" name="Chart 2">
          <a:extLst>
            <a:ext uri="{FF2B5EF4-FFF2-40B4-BE49-F238E27FC236}">
              <a16:creationId xmlns:a16="http://schemas.microsoft.com/office/drawing/2014/main" id="{E46DCA94-FEC7-4A99-AF9C-BBA846F1C6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553085</xdr:colOff>
      <xdr:row>10</xdr:row>
      <xdr:rowOff>0</xdr:rowOff>
    </xdr:from>
    <xdr:to>
      <xdr:col>17</xdr:col>
      <xdr:colOff>448685</xdr:colOff>
      <xdr:row>25</xdr:row>
      <xdr:rowOff>18000</xdr:rowOff>
    </xdr:to>
    <xdr:graphicFrame macro="">
      <xdr:nvGraphicFramePr>
        <xdr:cNvPr id="4" name="Chart 3">
          <a:extLst>
            <a:ext uri="{FF2B5EF4-FFF2-40B4-BE49-F238E27FC236}">
              <a16:creationId xmlns:a16="http://schemas.microsoft.com/office/drawing/2014/main" id="{2B098CE3-0904-4746-A428-EDF86E826C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492064</xdr:colOff>
      <xdr:row>25</xdr:row>
      <xdr:rowOff>63478</xdr:rowOff>
    </xdr:from>
    <xdr:to>
      <xdr:col>25</xdr:col>
      <xdr:colOff>1005840</xdr:colOff>
      <xdr:row>40</xdr:row>
      <xdr:rowOff>81478</xdr:rowOff>
    </xdr:to>
    <xdr:graphicFrame macro="">
      <xdr:nvGraphicFramePr>
        <xdr:cNvPr id="5" name="Chart 4">
          <a:extLst>
            <a:ext uri="{FF2B5EF4-FFF2-40B4-BE49-F238E27FC236}">
              <a16:creationId xmlns:a16="http://schemas.microsoft.com/office/drawing/2014/main" id="{7D29A4AC-5D54-4A56-96E9-B6364272A2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548852</xdr:colOff>
      <xdr:row>25</xdr:row>
      <xdr:rowOff>47926</xdr:rowOff>
    </xdr:from>
    <xdr:to>
      <xdr:col>17</xdr:col>
      <xdr:colOff>444078</xdr:colOff>
      <xdr:row>40</xdr:row>
      <xdr:rowOff>67500</xdr:rowOff>
    </xdr:to>
    <xdr:graphicFrame macro="">
      <xdr:nvGraphicFramePr>
        <xdr:cNvPr id="6" name="Chart 5">
          <a:extLst>
            <a:ext uri="{FF2B5EF4-FFF2-40B4-BE49-F238E27FC236}">
              <a16:creationId xmlns:a16="http://schemas.microsoft.com/office/drawing/2014/main" id="{4E4560FF-178C-405D-8A2F-EBAA5464FF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17</xdr:col>
      <xdr:colOff>496147</xdr:colOff>
      <xdr:row>10</xdr:row>
      <xdr:rowOff>0</xdr:rowOff>
    </xdr:from>
    <xdr:to>
      <xdr:col>20</xdr:col>
      <xdr:colOff>538480</xdr:colOff>
      <xdr:row>25</xdr:row>
      <xdr:rowOff>23777</xdr:rowOff>
    </xdr:to>
    <mc:AlternateContent xmlns:mc="http://schemas.openxmlformats.org/markup-compatibility/2006" xmlns:a14="http://schemas.microsoft.com/office/drawing/2010/main">
      <mc:Choice Requires="a14">
        <xdr:graphicFrame macro="">
          <xdr:nvGraphicFramePr>
            <xdr:cNvPr id="7" name="order_status">
              <a:extLst>
                <a:ext uri="{FF2B5EF4-FFF2-40B4-BE49-F238E27FC236}">
                  <a16:creationId xmlns:a16="http://schemas.microsoft.com/office/drawing/2014/main" id="{F6C8F231-1671-484F-B98C-CEF6C2AEF547}"/>
                </a:ext>
              </a:extLst>
            </xdr:cNvPr>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mlns="">
        <xdr:sp macro="" textlink="">
          <xdr:nvSpPr>
            <xdr:cNvPr id="0" name=""/>
            <xdr:cNvSpPr>
              <a:spLocks noTextEdit="1"/>
            </xdr:cNvSpPr>
          </xdr:nvSpPr>
          <xdr:spPr>
            <a:xfrm>
              <a:off x="10859347" y="1828800"/>
              <a:ext cx="1871133" cy="27669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599934</xdr:colOff>
      <xdr:row>10</xdr:row>
      <xdr:rowOff>0</xdr:rowOff>
    </xdr:from>
    <xdr:to>
      <xdr:col>23</xdr:col>
      <xdr:colOff>487679</xdr:colOff>
      <xdr:row>25</xdr:row>
      <xdr:rowOff>26881</xdr:rowOff>
    </xdr:to>
    <mc:AlternateContent xmlns:mc="http://schemas.openxmlformats.org/markup-compatibility/2006">
      <mc:Choice xmlns:a14="http://schemas.microsoft.com/office/drawing/2010/main" Requires="a14">
        <xdr:graphicFrame macro="">
          <xdr:nvGraphicFramePr>
            <xdr:cNvPr id="8" name="payment_method">
              <a:extLst>
                <a:ext uri="{FF2B5EF4-FFF2-40B4-BE49-F238E27FC236}">
                  <a16:creationId xmlns:a16="http://schemas.microsoft.com/office/drawing/2014/main" id="{8588C2F7-E7F3-43CE-A719-BBCF0EA0B055}"/>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12791934" y="1828800"/>
              <a:ext cx="1716545" cy="27700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558800</xdr:colOff>
      <xdr:row>10</xdr:row>
      <xdr:rowOff>10160</xdr:rowOff>
    </xdr:from>
    <xdr:to>
      <xdr:col>26</xdr:col>
      <xdr:colOff>5080</xdr:colOff>
      <xdr:row>25</xdr:row>
      <xdr:rowOff>23495</xdr:rowOff>
    </xdr:to>
    <mc:AlternateContent xmlns:mc="http://schemas.openxmlformats.org/markup-compatibility/2006" xmlns:a14="http://schemas.microsoft.com/office/drawing/2010/main">
      <mc:Choice Requires="a14">
        <xdr:graphicFrame macro="">
          <xdr:nvGraphicFramePr>
            <xdr:cNvPr id="10" name="order_date (Month)">
              <a:extLst>
                <a:ext uri="{FF2B5EF4-FFF2-40B4-BE49-F238E27FC236}">
                  <a16:creationId xmlns:a16="http://schemas.microsoft.com/office/drawing/2014/main" id="{03D2DFCB-412A-32AD-086D-6832934083C3}"/>
                </a:ext>
              </a:extLst>
            </xdr:cNvPr>
            <xdr:cNvGraphicFramePr/>
          </xdr:nvGraphicFramePr>
          <xdr:xfrm>
            <a:off x="0" y="0"/>
            <a:ext cx="0" cy="0"/>
          </xdr:xfrm>
          <a:graphic>
            <a:graphicData uri="http://schemas.microsoft.com/office/drawing/2010/slicer">
              <sle:slicer xmlns:sle="http://schemas.microsoft.com/office/drawing/2010/slicer" name="order_date (Month)"/>
            </a:graphicData>
          </a:graphic>
        </xdr:graphicFrame>
      </mc:Choice>
      <mc:Fallback xmlns="">
        <xdr:sp macro="" textlink="">
          <xdr:nvSpPr>
            <xdr:cNvPr id="0" name=""/>
            <xdr:cNvSpPr>
              <a:spLocks noTextEdit="1"/>
            </xdr:cNvSpPr>
          </xdr:nvSpPr>
          <xdr:spPr>
            <a:xfrm>
              <a:off x="14579600" y="1838960"/>
              <a:ext cx="1651000" cy="27565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30480</xdr:colOff>
      <xdr:row>4</xdr:row>
      <xdr:rowOff>32484</xdr:rowOff>
    </xdr:from>
    <xdr:to>
      <xdr:col>21</xdr:col>
      <xdr:colOff>193680</xdr:colOff>
      <xdr:row>9</xdr:row>
      <xdr:rowOff>122484</xdr:rowOff>
    </xdr:to>
    <xdr:grpSp>
      <xdr:nvGrpSpPr>
        <xdr:cNvPr id="11" name="Group 10">
          <a:extLst>
            <a:ext uri="{FF2B5EF4-FFF2-40B4-BE49-F238E27FC236}">
              <a16:creationId xmlns:a16="http://schemas.microsoft.com/office/drawing/2014/main" id="{BC946E99-2153-4F08-BB65-1C92F87FB52F}"/>
            </a:ext>
          </a:extLst>
        </xdr:cNvPr>
        <xdr:cNvGrpSpPr/>
      </xdr:nvGrpSpPr>
      <xdr:grpSpPr>
        <a:xfrm>
          <a:off x="9784080" y="764004"/>
          <a:ext cx="3211200" cy="1004400"/>
          <a:chOff x="8130228" y="567825"/>
          <a:chExt cx="2663882" cy="1059447"/>
        </a:xfrm>
      </xdr:grpSpPr>
      <xdr:sp macro="" textlink="">
        <xdr:nvSpPr>
          <xdr:cNvPr id="12" name="Rectangle 11">
            <a:extLst>
              <a:ext uri="{FF2B5EF4-FFF2-40B4-BE49-F238E27FC236}">
                <a16:creationId xmlns:a16="http://schemas.microsoft.com/office/drawing/2014/main" id="{22F48702-CBD3-AB06-38B5-E6C6153BE439}"/>
              </a:ext>
            </a:extLst>
          </xdr:cNvPr>
          <xdr:cNvSpPr/>
        </xdr:nvSpPr>
        <xdr:spPr>
          <a:xfrm>
            <a:off x="8130228" y="567825"/>
            <a:ext cx="2663882" cy="105944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t>Total Quantity Sold</a:t>
            </a:r>
          </a:p>
        </xdr:txBody>
      </xdr:sp>
      <xdr:sp macro="" textlink="">
        <xdr:nvSpPr>
          <xdr:cNvPr id="13" name="Rectangle 12">
            <a:extLst>
              <a:ext uri="{FF2B5EF4-FFF2-40B4-BE49-F238E27FC236}">
                <a16:creationId xmlns:a16="http://schemas.microsoft.com/office/drawing/2014/main" id="{8AED79E8-802F-DE05-E522-E8C147A82311}"/>
              </a:ext>
            </a:extLst>
          </xdr:cNvPr>
          <xdr:cNvSpPr/>
        </xdr:nvSpPr>
        <xdr:spPr>
          <a:xfrm>
            <a:off x="9558421" y="1007868"/>
            <a:ext cx="1007089" cy="449512"/>
          </a:xfrm>
          <a:prstGeom prst="rect">
            <a:avLst/>
          </a:prstGeom>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t>41</a:t>
            </a:r>
          </a:p>
        </xdr:txBody>
      </xdr:sp>
      <xdr:pic>
        <xdr:nvPicPr>
          <xdr:cNvPr id="14" name="Graphic 13" descr="Bar chart with solid fill">
            <a:extLst>
              <a:ext uri="{FF2B5EF4-FFF2-40B4-BE49-F238E27FC236}">
                <a16:creationId xmlns:a16="http://schemas.microsoft.com/office/drawing/2014/main" id="{C44BA0D6-2FF0-7350-9A8E-72DD8B70CFEC}"/>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8814245" y="870060"/>
            <a:ext cx="696049" cy="691593"/>
          </a:xfrm>
          <a:prstGeom prst="rect">
            <a:avLst/>
          </a:prstGeom>
        </xdr:spPr>
      </xdr:pic>
    </xdr:grpSp>
    <xdr:clientData/>
  </xdr:twoCellAnchor>
  <xdr:twoCellAnchor>
    <xdr:from>
      <xdr:col>5</xdr:col>
      <xdr:colOff>227352</xdr:colOff>
      <xdr:row>4</xdr:row>
      <xdr:rowOff>36492</xdr:rowOff>
    </xdr:from>
    <xdr:to>
      <xdr:col>10</xdr:col>
      <xdr:colOff>390552</xdr:colOff>
      <xdr:row>9</xdr:row>
      <xdr:rowOff>126492</xdr:rowOff>
    </xdr:to>
    <xdr:grpSp>
      <xdr:nvGrpSpPr>
        <xdr:cNvPr id="15" name="Group 14">
          <a:extLst>
            <a:ext uri="{FF2B5EF4-FFF2-40B4-BE49-F238E27FC236}">
              <a16:creationId xmlns:a16="http://schemas.microsoft.com/office/drawing/2014/main" id="{7D019DDE-E9EF-4580-9446-A9F0019698D0}"/>
            </a:ext>
          </a:extLst>
        </xdr:cNvPr>
        <xdr:cNvGrpSpPr/>
      </xdr:nvGrpSpPr>
      <xdr:grpSpPr>
        <a:xfrm>
          <a:off x="3275352" y="768012"/>
          <a:ext cx="3211200" cy="1004400"/>
          <a:chOff x="2746097" y="571833"/>
          <a:chExt cx="2627789" cy="1059447"/>
        </a:xfrm>
      </xdr:grpSpPr>
      <xdr:sp macro="" textlink="">
        <xdr:nvSpPr>
          <xdr:cNvPr id="16" name="Rectangle 15">
            <a:extLst>
              <a:ext uri="{FF2B5EF4-FFF2-40B4-BE49-F238E27FC236}">
                <a16:creationId xmlns:a16="http://schemas.microsoft.com/office/drawing/2014/main" id="{EDEE479F-8B82-7332-4000-0C428805A0C2}"/>
              </a:ext>
            </a:extLst>
          </xdr:cNvPr>
          <xdr:cNvSpPr/>
        </xdr:nvSpPr>
        <xdr:spPr>
          <a:xfrm>
            <a:off x="2746097" y="571833"/>
            <a:ext cx="2627789" cy="105944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t>Total Revenue</a:t>
            </a:r>
          </a:p>
        </xdr:txBody>
      </xdr:sp>
      <xdr:sp macro="" textlink="">
        <xdr:nvSpPr>
          <xdr:cNvPr id="17" name="Rectangle 16">
            <a:extLst>
              <a:ext uri="{FF2B5EF4-FFF2-40B4-BE49-F238E27FC236}">
                <a16:creationId xmlns:a16="http://schemas.microsoft.com/office/drawing/2014/main" id="{492A20BB-5F28-53DA-7F92-56B0A1E49721}"/>
              </a:ext>
            </a:extLst>
          </xdr:cNvPr>
          <xdr:cNvSpPr/>
        </xdr:nvSpPr>
        <xdr:spPr>
          <a:xfrm>
            <a:off x="3963736" y="991827"/>
            <a:ext cx="1247721" cy="449512"/>
          </a:xfrm>
          <a:prstGeom prst="rect">
            <a:avLst/>
          </a:prstGeom>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t>₹ 453650</a:t>
            </a:r>
          </a:p>
        </xdr:txBody>
      </xdr:sp>
      <xdr:pic>
        <xdr:nvPicPr>
          <xdr:cNvPr id="18" name="Graphic 17" descr="Coins with solid fill">
            <a:extLst>
              <a:ext uri="{FF2B5EF4-FFF2-40B4-BE49-F238E27FC236}">
                <a16:creationId xmlns:a16="http://schemas.microsoft.com/office/drawing/2014/main" id="{22E88AEC-451F-F368-A1CB-FD184510E39F}"/>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129325" y="870060"/>
            <a:ext cx="735759" cy="731304"/>
          </a:xfrm>
          <a:prstGeom prst="rect">
            <a:avLst/>
          </a:prstGeom>
        </xdr:spPr>
      </xdr:pic>
    </xdr:grpSp>
    <xdr:clientData/>
  </xdr:twoCellAnchor>
  <xdr:twoCellAnchor>
    <xdr:from>
      <xdr:col>21</xdr:col>
      <xdr:colOff>223519</xdr:colOff>
      <xdr:row>4</xdr:row>
      <xdr:rowOff>30481</xdr:rowOff>
    </xdr:from>
    <xdr:to>
      <xdr:col>26</xdr:col>
      <xdr:colOff>10799</xdr:colOff>
      <xdr:row>9</xdr:row>
      <xdr:rowOff>121921</xdr:rowOff>
    </xdr:to>
    <xdr:grpSp>
      <xdr:nvGrpSpPr>
        <xdr:cNvPr id="23" name="Group 22">
          <a:extLst>
            <a:ext uri="{FF2B5EF4-FFF2-40B4-BE49-F238E27FC236}">
              <a16:creationId xmlns:a16="http://schemas.microsoft.com/office/drawing/2014/main" id="{46CC2CDB-741A-4B53-A616-30162E9BE647}"/>
            </a:ext>
          </a:extLst>
        </xdr:cNvPr>
        <xdr:cNvGrpSpPr/>
      </xdr:nvGrpSpPr>
      <xdr:grpSpPr>
        <a:xfrm>
          <a:off x="13025119" y="762001"/>
          <a:ext cx="3211200" cy="1005840"/>
          <a:chOff x="10846245" y="565821"/>
          <a:chExt cx="2611746" cy="1059447"/>
        </a:xfrm>
      </xdr:grpSpPr>
      <xdr:sp macro="" textlink="">
        <xdr:nvSpPr>
          <xdr:cNvPr id="24" name="Rectangle 23">
            <a:extLst>
              <a:ext uri="{FF2B5EF4-FFF2-40B4-BE49-F238E27FC236}">
                <a16:creationId xmlns:a16="http://schemas.microsoft.com/office/drawing/2014/main" id="{FEC06E86-FA29-B2FD-131B-844C86C53193}"/>
              </a:ext>
            </a:extLst>
          </xdr:cNvPr>
          <xdr:cNvSpPr/>
        </xdr:nvSpPr>
        <xdr:spPr>
          <a:xfrm>
            <a:off x="10846245" y="565821"/>
            <a:ext cx="2611746" cy="105944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t>Average Order Value</a:t>
            </a:r>
          </a:p>
        </xdr:txBody>
      </xdr:sp>
      <xdr:sp macro="" textlink="">
        <xdr:nvSpPr>
          <xdr:cNvPr id="25" name="Rectangle 24">
            <a:extLst>
              <a:ext uri="{FF2B5EF4-FFF2-40B4-BE49-F238E27FC236}">
                <a16:creationId xmlns:a16="http://schemas.microsoft.com/office/drawing/2014/main" id="{8779DA2F-4FC4-35C6-FDF6-97B601618D51}"/>
              </a:ext>
            </a:extLst>
          </xdr:cNvPr>
          <xdr:cNvSpPr/>
        </xdr:nvSpPr>
        <xdr:spPr>
          <a:xfrm>
            <a:off x="11953597" y="969768"/>
            <a:ext cx="1410146" cy="450069"/>
          </a:xfrm>
          <a:prstGeom prst="rect">
            <a:avLst/>
          </a:prstGeom>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t>₹ 30243.33</a:t>
            </a:r>
          </a:p>
        </xdr:txBody>
      </xdr:sp>
      <xdr:pic>
        <xdr:nvPicPr>
          <xdr:cNvPr id="26" name="Graphic 25" descr="Upward trend with solid fill">
            <a:extLst>
              <a:ext uri="{FF2B5EF4-FFF2-40B4-BE49-F238E27FC236}">
                <a16:creationId xmlns:a16="http://schemas.microsoft.com/office/drawing/2014/main" id="{DEB91DF6-0DDD-7F88-EE65-A355E296093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1099130" y="890113"/>
            <a:ext cx="724549" cy="720093"/>
          </a:xfrm>
          <a:prstGeom prst="rect">
            <a:avLst/>
          </a:prstGeom>
        </xdr:spPr>
      </xdr:pic>
    </xdr:grpSp>
    <xdr:clientData/>
  </xdr:twoCellAnchor>
  <xdr:twoCellAnchor>
    <xdr:from>
      <xdr:col>10</xdr:col>
      <xdr:colOff>434519</xdr:colOff>
      <xdr:row>4</xdr:row>
      <xdr:rowOff>28337</xdr:rowOff>
    </xdr:from>
    <xdr:to>
      <xdr:col>15</xdr:col>
      <xdr:colOff>597719</xdr:colOff>
      <xdr:row>9</xdr:row>
      <xdr:rowOff>118337</xdr:rowOff>
    </xdr:to>
    <xdr:grpSp>
      <xdr:nvGrpSpPr>
        <xdr:cNvPr id="27" name="Group 26">
          <a:extLst>
            <a:ext uri="{FF2B5EF4-FFF2-40B4-BE49-F238E27FC236}">
              <a16:creationId xmlns:a16="http://schemas.microsoft.com/office/drawing/2014/main" id="{6BEBC2EF-674E-4719-931B-6FAC40E92BE3}"/>
            </a:ext>
          </a:extLst>
        </xdr:cNvPr>
        <xdr:cNvGrpSpPr/>
      </xdr:nvGrpSpPr>
      <xdr:grpSpPr>
        <a:xfrm>
          <a:off x="6530519" y="759857"/>
          <a:ext cx="3211200" cy="1004400"/>
          <a:chOff x="5270934" y="605989"/>
          <a:chExt cx="2682152" cy="1059447"/>
        </a:xfrm>
      </xdr:grpSpPr>
      <xdr:sp macro="" textlink="">
        <xdr:nvSpPr>
          <xdr:cNvPr id="28" name="Rectangle 27">
            <a:extLst>
              <a:ext uri="{FF2B5EF4-FFF2-40B4-BE49-F238E27FC236}">
                <a16:creationId xmlns:a16="http://schemas.microsoft.com/office/drawing/2014/main" id="{9C3F1D9D-B798-DC2E-A197-75F1A96700AF}"/>
              </a:ext>
            </a:extLst>
          </xdr:cNvPr>
          <xdr:cNvSpPr/>
        </xdr:nvSpPr>
        <xdr:spPr>
          <a:xfrm>
            <a:off x="5270934" y="605989"/>
            <a:ext cx="2682152" cy="105944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t>Total Customers</a:t>
            </a:r>
          </a:p>
        </xdr:txBody>
      </xdr:sp>
      <xdr:sp macro="" textlink="">
        <xdr:nvSpPr>
          <xdr:cNvPr id="29" name="Rectangle 28">
            <a:extLst>
              <a:ext uri="{FF2B5EF4-FFF2-40B4-BE49-F238E27FC236}">
                <a16:creationId xmlns:a16="http://schemas.microsoft.com/office/drawing/2014/main" id="{284EE39E-33AC-8DD3-F130-85D9B53B13D4}"/>
              </a:ext>
            </a:extLst>
          </xdr:cNvPr>
          <xdr:cNvSpPr/>
        </xdr:nvSpPr>
        <xdr:spPr>
          <a:xfrm>
            <a:off x="6519333" y="1013883"/>
            <a:ext cx="1007089" cy="449512"/>
          </a:xfrm>
          <a:prstGeom prst="rect">
            <a:avLst/>
          </a:prstGeom>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t>10</a:t>
            </a:r>
          </a:p>
        </xdr:txBody>
      </xdr:sp>
      <xdr:pic>
        <xdr:nvPicPr>
          <xdr:cNvPr id="30" name="Graphic 29" descr="Users with solid fill">
            <a:extLst>
              <a:ext uri="{FF2B5EF4-FFF2-40B4-BE49-F238E27FC236}">
                <a16:creationId xmlns:a16="http://schemas.microsoft.com/office/drawing/2014/main" id="{4ABF9DC1-AB67-CB75-6F2D-4C6EEA40368A}"/>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5845342" y="850007"/>
            <a:ext cx="754201" cy="749746"/>
          </a:xfrm>
          <a:prstGeom prst="rect">
            <a:avLst/>
          </a:prstGeom>
        </xdr:spPr>
      </xdr:pic>
    </xdr:grpSp>
    <xdr:clientData/>
  </xdr:twoCellAnchor>
  <xdr:twoCellAnchor>
    <xdr:from>
      <xdr:col>2</xdr:col>
      <xdr:colOff>599440</xdr:colOff>
      <xdr:row>6</xdr:row>
      <xdr:rowOff>64968</xdr:rowOff>
    </xdr:from>
    <xdr:to>
      <xdr:col>4</xdr:col>
      <xdr:colOff>585975</xdr:colOff>
      <xdr:row>8</xdr:row>
      <xdr:rowOff>125364</xdr:rowOff>
    </xdr:to>
    <xdr:sp macro="" textlink="">
      <xdr:nvSpPr>
        <xdr:cNvPr id="33" name="Rectangle 32">
          <a:extLst>
            <a:ext uri="{FF2B5EF4-FFF2-40B4-BE49-F238E27FC236}">
              <a16:creationId xmlns:a16="http://schemas.microsoft.com/office/drawing/2014/main" id="{7FAE72C1-A351-43AC-864A-615EB21AE5A9}"/>
            </a:ext>
          </a:extLst>
        </xdr:cNvPr>
        <xdr:cNvSpPr/>
      </xdr:nvSpPr>
      <xdr:spPr>
        <a:xfrm>
          <a:off x="1818640" y="1162248"/>
          <a:ext cx="1205735" cy="426156"/>
        </a:xfrm>
        <a:prstGeom prst="rect">
          <a:avLst/>
        </a:prstGeom>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t>15</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dhi Jamgade" refreshedDate="46266.542744560182" backgroundQuery="1" createdVersion="8" refreshedVersion="8" minRefreshableVersion="3" recordCount="0" supportSubquery="1" supportAdvancedDrill="1" xr:uid="{69B7FA72-BCEC-483D-BD5E-F1F0B776E71A}">
  <cacheSource type="external" connectionId="6"/>
  <cacheFields count="2">
    <cacheField name="[Payments].[payment_method].[payment_method]" caption="payment_method" numFmtId="0" hierarchy="22" level="1">
      <sharedItems count="4">
        <s v="Cash"/>
        <s v="Credit Card"/>
        <s v="Debit Card"/>
        <s v="UPI"/>
      </sharedItems>
    </cacheField>
    <cacheField name="[Measures].[Sum of amount]" caption="Sum of amount" numFmtId="0" hierarchy="46" level="32767"/>
  </cacheFields>
  <cacheHierarchies count="49">
    <cacheHierarchy uniqueName="[Customers].[customer_id]" caption="customer_id" attribute="1" defaultMemberUniqueName="[Customers].[customer_id].[All]" allUniqueName="[Customers].[customer_id].[All]" dimensionUniqueName="[Customers]" displayFolder="" count="2" memberValueDatatype="20" unbalanced="0"/>
    <cacheHierarchy uniqueName="[Customers].[customer_name]" caption="customer_name" attribute="1" defaultMemberUniqueName="[Customers].[customer_name].[All]" allUniqueName="[Customers].[customer_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state]" caption="state" attribute="1" defaultMemberUniqueName="[Customers].[state].[All]" allUniqueName="[Customers].[state].[All]" dimensionUniqueName="[Customers]" displayFolder="" count="2" memberValueDatatype="130" unbalanced="0"/>
    <cacheHierarchy uniqueName="[Customers].[signup_date]" caption="signup_date" attribute="1" time="1" defaultMemberUniqueName="[Customers].[signup_date].[All]" allUniqueName="[Customers].[signup_date].[All]" dimensionUniqueName="[Customers]" displayFolder="" count="2" memberValueDatatype="7" unbalanced="0"/>
    <cacheHierarchy uniqueName="[Order_details].[order_detail_id]" caption="order_detail_id" attribute="1" defaultMemberUniqueName="[Order_details].[order_detail_id].[All]" allUniqueName="[Order_details].[order_detail_id].[All]" dimensionUniqueName="[Order_details]" displayFolder="" count="2" memberValueDatatype="20" unbalanced="0"/>
    <cacheHierarchy uniqueName="[Order_details].[order_id]" caption="order_id" attribute="1" defaultMemberUniqueName="[Order_details].[order_id].[All]" allUniqueName="[Order_details].[order_id].[All]" dimensionUniqueName="[Order_details]" displayFolder="" count="2" memberValueDatatype="20" unbalanced="0"/>
    <cacheHierarchy uniqueName="[Order_details].[product_id]" caption="product_id" attribute="1" defaultMemberUniqueName="[Order_details].[product_id].[All]" allUniqueName="[Order_details].[product_id].[All]" dimensionUniqueName="[Order_details]" displayFolder="" count="2" memberValueDatatype="20" unbalanced="0"/>
    <cacheHierarchy uniqueName="[Order_details].[quantity]" caption="quantity" attribute="1" defaultMemberUniqueName="[Order_details].[quantity].[All]" allUniqueName="[Order_details].[quantity].[All]" dimensionUniqueName="[Order_details]" displayFolder="" count="2" memberValueDatatype="20" unbalanced="0"/>
    <cacheHierarchy uniqueName="[Order_details].[Revenue]" caption="Revenue" attribute="1" defaultMemberUniqueName="[Order_details].[Revenue].[All]" allUniqueName="[Order_details].[Revenue].[All]" dimensionUniqueName="[Order_details]" displayFolder="" count="2" memberValueDatatype="20" unbalanced="0"/>
    <cacheHierarchy uniqueName="[Order_details].[Category]" caption="Category" attribute="1" defaultMemberUniqueName="[Order_details].[Category].[All]" allUniqueName="[Order_details].[Category].[All]" dimensionUniqueName="[Order_details]" displayFolder="" count="2" memberValueDatatype="130" unbalanced="0"/>
    <cacheHierarchy uniqueName="[Order_details].[Product Name]" caption="Product Name" attribute="1" defaultMemberUniqueName="[Order_details].[Product Name].[All]" allUniqueName="[Order_details].[Product Name].[All]" dimensionUniqueName="[Order_detail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status]" caption="order_status" attribute="1" defaultMemberUniqueName="[Orders].[order_status].[All]" allUniqueName="[Orders].[order_status].[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Orders].[order_date (Year)]" caption="order_date (Year)" attribute="1" defaultMemberUniqueName="[Orders].[order_date (Year)].[All]" allUniqueName="[Orders].[order_date (Year)].[All]" dimensionUniqueName="[Orders]" displayFolder="" count="2" memberValueDatatype="130" unbalanced="0"/>
    <cacheHierarchy uniqueName="[Payments].[payment_id]" caption="payment_id" attribute="1" defaultMemberUniqueName="[Payments].[payment_id].[All]" allUniqueName="[Payments].[payment_id].[All]" dimensionUniqueName="[Payments]" displayFolder="" count="2" memberValueDatatype="20" unbalanced="0"/>
    <cacheHierarchy uniqueName="[Payments].[order_id]" caption="order_id" attribute="1" defaultMemberUniqueName="[Payments].[order_id].[All]" allUniqueName="[Payments].[order_id].[All]" dimensionUniqueName="[Payments]" displayFolder="" count="2" memberValueDatatype="20" unbalanced="0"/>
    <cacheHierarchy uniqueName="[Payments].[payment_date]" caption="payment_date" attribute="1" time="1" defaultMemberUniqueName="[Payments].[payment_date].[All]" allUniqueName="[Payments].[payment_date].[All]" dimensionUniqueName="[Payments]" displayFolder="" count="2" memberValueDatatype="7" unbalanced="0"/>
    <cacheHierarchy uniqueName="[Payments].[payment_method]" caption="payment_method" attribute="1" defaultMemberUniqueName="[Payments].[payment_method].[All]" allUniqueName="[Payments].[payment_method].[All]" dimensionUniqueName="[Payments]" displayFolder="" count="2" memberValueDatatype="130" unbalanced="0">
      <fieldsUsage count="2">
        <fieldUsage x="-1"/>
        <fieldUsage x="0"/>
      </fieldsUsage>
    </cacheHierarchy>
    <cacheHierarchy uniqueName="[Payments].[amount]" caption="amount" attribute="1" defaultMemberUniqueName="[Payments].[amount].[All]" allUniqueName="[Payments].[amount].[All]" dimensionUniqueName="[Payments]" displayFolder="" count="2" memberValueDatatype="20" unbalanced="0"/>
    <cacheHierarchy uniqueName="[Payments].[payment_status]" caption="payment_status" attribute="1" defaultMemberUniqueName="[Payments].[payment_status].[All]" allUniqueName="[Payments].[payment_status].[All]" dimensionUniqueName="[Payment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caption="price" attribute="1" defaultMemberUniqueName="[Products].[price].[All]" allUniqueName="[Products].[price].[All]" dimensionUniqueName="[Products]" displayFolder="" count="2" memberValueDatatype="20" unbalanced="0"/>
    <cacheHierarchy uniqueName="[Orders].[order_date (Month Index)]" caption="order_date (Month Index)" attribute="1" defaultMemberUniqueName="[Orders].[order_date (Month Index)].[All]" allUniqueName="[Orders].[order_date (Month Index)].[All]" dimensionUniqueName="[Orders]" displayFolder="" count="2" memberValueDatatype="20" unbalanced="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Order_details]" caption="__XL_Count Order_details" measure="1" displayFolder="" measureGroup="Order_detail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_details" count="0" hidden="1">
      <extLst>
        <ext xmlns:x15="http://schemas.microsoft.com/office/spreadsheetml/2010/11/main" uri="{B97F6D7D-B522-45F9-BDA1-12C45D357490}">
          <x15:cacheHierarchy aggregatedColumn="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_details" count="0" hidden="1">
      <extLst>
        <ext xmlns:x15="http://schemas.microsoft.com/office/spreadsheetml/2010/11/main" uri="{B97F6D7D-B522-45F9-BDA1-12C45D357490}">
          <x15:cacheHierarchy aggregatedColumn="8"/>
        </ext>
      </extLst>
    </cacheHierarchy>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customer_id 2]" caption="Sum of customer_id 2" measure="1" displayFolder="" measureGroup="Orders" count="0" hidden="1">
      <extLst>
        <ext xmlns:x15="http://schemas.microsoft.com/office/spreadsheetml/2010/11/main" uri="{B97F6D7D-B522-45F9-BDA1-12C45D357490}">
          <x15:cacheHierarchy aggregatedColumn="13"/>
        </ext>
      </extLst>
    </cacheHierarchy>
    <cacheHierarchy uniqueName="[Measures].[Distinct Count of customer_id]" caption="Distinct Count of customer_id" measure="1" displayFolder="" measureGroup="Orders" count="0" hidden="1">
      <extLst>
        <ext xmlns:x15="http://schemas.microsoft.com/office/spreadsheetml/2010/11/main" uri="{B97F6D7D-B522-45F9-BDA1-12C45D357490}">
          <x15:cacheHierarchy aggregatedColumn="13"/>
        </ext>
      </extLst>
    </cacheHierarchy>
    <cacheHierarchy uniqueName="[Measures].[Sum of order_detail_id]" caption="Sum of order_detail_id" measure="1" displayFolder="" measureGroup="Order_details" count="0" hidden="1">
      <extLst>
        <ext xmlns:x15="http://schemas.microsoft.com/office/spreadsheetml/2010/11/main" uri="{B97F6D7D-B522-45F9-BDA1-12C45D357490}">
          <x15:cacheHierarchy aggregatedColumn="5"/>
        </ext>
      </extLst>
    </cacheHierarchy>
    <cacheHierarchy uniqueName="[Measures].[Sum of order_id 2]" caption="Sum of order_id 2" measure="1" displayFolder="" measureGroup="Order_details" count="0" hidden="1">
      <extLst>
        <ext xmlns:x15="http://schemas.microsoft.com/office/spreadsheetml/2010/11/main" uri="{B97F6D7D-B522-45F9-BDA1-12C45D357490}">
          <x15:cacheHierarchy aggregatedColumn="6"/>
        </ext>
      </extLst>
    </cacheHierarchy>
    <cacheHierarchy uniqueName="[Measures].[Sum of amount]" caption="Sum of amount" measure="1" displayFolder="" measureGroup="Payments"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price]" caption="Sum of price" measure="1" displayFolder="" measureGroup="Products" count="0" hidden="1">
      <extLst>
        <ext xmlns:x15="http://schemas.microsoft.com/office/spreadsheetml/2010/11/main" uri="{B97F6D7D-B522-45F9-BDA1-12C45D357490}">
          <x15:cacheHierarchy aggregatedColumn="28"/>
        </ext>
      </extLst>
    </cacheHierarchy>
    <cacheHierarchy uniqueName="[Measures].[Distinct Count of customer_id 2]" caption="Distinct Count of customer_id 2" measure="1" displayFolder="" measureGroup="Customers" count="0" hidden="1">
      <extLst>
        <ext xmlns:x15="http://schemas.microsoft.com/office/spreadsheetml/2010/11/main" uri="{B97F6D7D-B522-45F9-BDA1-12C45D357490}">
          <x15:cacheHierarchy aggregatedColumn="0"/>
        </ext>
      </extLst>
    </cacheHierarchy>
  </cacheHierarchies>
  <kpis count="0"/>
  <dimensions count="6">
    <dimension name="Customers" uniqueName="[Customers]" caption="Customers"/>
    <dimension measure="1" name="Measures" uniqueName="[Measures]" caption="Measures"/>
    <dimension name="Order_details" uniqueName="[Order_details]" caption="Order_details"/>
    <dimension name="Orders" uniqueName="[Orders]" caption="Orders"/>
    <dimension name="Payments" uniqueName="[Payments]" caption="Payments"/>
    <dimension name="Products" uniqueName="[Products]" caption="Products"/>
  </dimensions>
  <measureGroups count="5">
    <measureGroup name="Customers" caption="Customers"/>
    <measureGroup name="Order_details" caption="Order_details"/>
    <measureGroup name="Orders" caption="Orders"/>
    <measureGroup name="Payments" caption="Payments"/>
    <measureGroup name="Products" caption="Products"/>
  </measureGroups>
  <maps count="11">
    <map measureGroup="0" dimension="0"/>
    <map measureGroup="1" dimension="0"/>
    <map measureGroup="1" dimension="2"/>
    <map measureGroup="1" dimension="3"/>
    <map measureGroup="1" dimension="4"/>
    <map measureGroup="1" dimension="5"/>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dhi Jamgade" refreshedDate="46266.542745254628" backgroundQuery="1" createdVersion="8" refreshedVersion="8" minRefreshableVersion="3" recordCount="0" supportSubquery="1" supportAdvancedDrill="1" xr:uid="{911CCDFF-1A1B-48D0-BA61-40A247AC4738}">
  <cacheSource type="external" connectionId="6"/>
  <cacheFields count="2">
    <cacheField name="[Customers].[city].[city]" caption="city" numFmtId="0" hierarchy="2" level="1">
      <sharedItems count="9">
        <s v="Ahmedabad"/>
        <s v="Bangalore"/>
        <s v="Chennai"/>
        <s v="Delhi"/>
        <s v="Hyderabad"/>
        <s v="Kolkata"/>
        <s v="Mumbai"/>
        <s v="Nagpur"/>
        <s v="Pune"/>
      </sharedItems>
    </cacheField>
    <cacheField name="[Measures].[Count of order_id]" caption="Count of order_id" numFmtId="0" hierarchy="38" level="32767"/>
  </cacheFields>
  <cacheHierarchies count="49">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state]" caption="state" attribute="1" defaultMemberUniqueName="[Customers].[state].[All]" allUniqueName="[Customers].[state].[All]" dimensionUniqueName="[Customers]" displayFolder="" count="0"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Order_details].[order_detail_id]" caption="order_detail_id" attribute="1" defaultMemberUniqueName="[Order_details].[order_detail_id].[All]" allUniqueName="[Order_details].[order_detail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product_id]" caption="product_id" attribute="1" defaultMemberUniqueName="[Order_details].[product_id].[All]" allUniqueName="[Order_details].[product_id].[All]" dimensionUniqueName="[Order_details]" displayFolder="" count="0" memberValueDatatype="20"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Revenue]" caption="Revenue" attribute="1" defaultMemberUniqueName="[Order_details].[Revenue].[All]" allUniqueName="[Order_details].[Revenue].[All]" dimensionUniqueName="[Order_details]" displayFolder="" count="0" memberValueDatatype="20" unbalanced="0"/>
    <cacheHierarchy uniqueName="[Order_details].[Category]" caption="Category" attribute="1" defaultMemberUniqueName="[Order_details].[Category].[All]" allUniqueName="[Order_details].[Category].[All]" dimensionUniqueName="[Order_details]" displayFolder="" count="0" memberValueDatatype="130" unbalanced="0"/>
    <cacheHierarchy uniqueName="[Order_details].[Product Name]" caption="Product Name" attribute="1" defaultMemberUniqueName="[Order_details].[Product Name].[All]" allUniqueName="[Order_details].[Product Name].[All]" dimensionUniqueName="[Order_detail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status]" caption="order_status" attribute="1" defaultMemberUniqueName="[Orders].[order_status].[All]" allUniqueName="[Orders].[order_status].[All]" dimensionUniqueName="[Orders]" displayFolder="" count="2" memberValueDatatype="130" unbalanced="0"/>
    <cacheHierarchy uniqueName="[Orders].[City]" caption="City" attribute="1" defaultMemberUniqueName="[Orders].[City].[All]" allUniqueName="[Orders].[City].[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Orders].[order_date (Year)]" caption="order_date (Year)" attribute="1" defaultMemberUniqueName="[Orders].[order_date (Year)].[All]" allUniqueName="[Orders].[order_date (Year)].[All]" dimensionUniqueName="[Orders]" displayFolder="" count="0" memberValueDatatype="130" unbalanced="0"/>
    <cacheHierarchy uniqueName="[Payments].[payment_id]" caption="payment_id" attribute="1" defaultMemberUniqueName="[Payments].[payment_id].[All]" allUniqueName="[Payments].[payment_id].[All]" dimensionUniqueName="[Payments]" displayFolder="" count="0" memberValueDatatype="20" unbalanced="0"/>
    <cacheHierarchy uniqueName="[Payments].[order_id]" caption="order_id" attribute="1" defaultMemberUniqueName="[Payments].[order_id].[All]" allUniqueName="[Payments].[order_id].[All]" dimensionUniqueName="[Payments]" displayFolder="" count="0" memberValueDatatype="20" unbalanced="0"/>
    <cacheHierarchy uniqueName="[Payments].[payment_date]" caption="payment_date" attribute="1" time="1" defaultMemberUniqueName="[Payments].[payment_date].[All]" allUniqueName="[Payments].[payment_date].[All]" dimensionUniqueName="[Payments]" displayFolder="" count="0" memberValueDatatype="7" unbalanced="0"/>
    <cacheHierarchy uniqueName="[Payments].[payment_method]" caption="payment_method" attribute="1" defaultMemberUniqueName="[Payments].[payment_method].[All]" allUniqueName="[Payments].[payment_method].[All]" dimensionUniqueName="[Payments]" displayFolder="" count="2" memberValueDatatype="130" unbalanced="0"/>
    <cacheHierarchy uniqueName="[Payments].[amount]" caption="amount" attribute="1" defaultMemberUniqueName="[Payments].[amount].[All]" allUniqueName="[Payments].[amount].[All]" dimensionUniqueName="[Payments]" displayFolder="" count="0" memberValueDatatype="20" unbalanced="0"/>
    <cacheHierarchy uniqueName="[Payments].[payment_status]" caption="payment_status" attribute="1" defaultMemberUniqueName="[Payments].[payment_status].[All]" allUniqueName="[Payments].[payment_status].[All]" dimensionUniqueName="[Payment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caption="price" attribute="1" defaultMemberUniqueName="[Products].[price].[All]" allUniqueName="[Products].[price].[All]" dimensionUniqueName="[Products]" displayFolder="" count="0" memberValueDatatype="2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Order_details]" caption="__XL_Count Order_details" measure="1" displayFolder="" measureGroup="Order_detail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_details" count="0" hidden="1">
      <extLst>
        <ext xmlns:x15="http://schemas.microsoft.com/office/spreadsheetml/2010/11/main" uri="{B97F6D7D-B522-45F9-BDA1-12C45D357490}">
          <x15:cacheHierarchy aggregatedColumn="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_details" count="0" hidden="1">
      <extLst>
        <ext xmlns:x15="http://schemas.microsoft.com/office/spreadsheetml/2010/11/main" uri="{B97F6D7D-B522-45F9-BDA1-12C45D357490}">
          <x15:cacheHierarchy aggregatedColumn="8"/>
        </ext>
      </extLst>
    </cacheHierarchy>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customer_id 2]" caption="Sum of customer_id 2" measure="1" displayFolder="" measureGroup="Orders" count="0" hidden="1">
      <extLst>
        <ext xmlns:x15="http://schemas.microsoft.com/office/spreadsheetml/2010/11/main" uri="{B97F6D7D-B522-45F9-BDA1-12C45D357490}">
          <x15:cacheHierarchy aggregatedColumn="13"/>
        </ext>
      </extLst>
    </cacheHierarchy>
    <cacheHierarchy uniqueName="[Measures].[Distinct Count of customer_id]" caption="Distinct Count of customer_id" measure="1" displayFolder="" measureGroup="Orders" count="0" hidden="1">
      <extLst>
        <ext xmlns:x15="http://schemas.microsoft.com/office/spreadsheetml/2010/11/main" uri="{B97F6D7D-B522-45F9-BDA1-12C45D357490}">
          <x15:cacheHierarchy aggregatedColumn="13"/>
        </ext>
      </extLst>
    </cacheHierarchy>
    <cacheHierarchy uniqueName="[Measures].[Sum of order_detail_id]" caption="Sum of order_detail_id" measure="1" displayFolder="" measureGroup="Order_details" count="0" hidden="1">
      <extLst>
        <ext xmlns:x15="http://schemas.microsoft.com/office/spreadsheetml/2010/11/main" uri="{B97F6D7D-B522-45F9-BDA1-12C45D357490}">
          <x15:cacheHierarchy aggregatedColumn="5"/>
        </ext>
      </extLst>
    </cacheHierarchy>
    <cacheHierarchy uniqueName="[Measures].[Sum of order_id 2]" caption="Sum of order_id 2" measure="1" displayFolder="" measureGroup="Order_details" count="0" hidden="1">
      <extLst>
        <ext xmlns:x15="http://schemas.microsoft.com/office/spreadsheetml/2010/11/main" uri="{B97F6D7D-B522-45F9-BDA1-12C45D357490}">
          <x15:cacheHierarchy aggregatedColumn="6"/>
        </ext>
      </extLst>
    </cacheHierarchy>
    <cacheHierarchy uniqueName="[Measures].[Sum of amount]" caption="Sum of amount" measure="1" displayFolder="" measureGroup="Payments" count="0" hidden="1">
      <extLst>
        <ext xmlns:x15="http://schemas.microsoft.com/office/spreadsheetml/2010/11/main" uri="{B97F6D7D-B522-45F9-BDA1-12C45D357490}">
          <x15:cacheHierarchy aggregatedColumn="23"/>
        </ext>
      </extLst>
    </cacheHierarchy>
    <cacheHierarchy uniqueName="[Measures].[Sum of price]" caption="Sum of price" measure="1" displayFolder="" measureGroup="Products" count="0" hidden="1">
      <extLst>
        <ext xmlns:x15="http://schemas.microsoft.com/office/spreadsheetml/2010/11/main" uri="{B97F6D7D-B522-45F9-BDA1-12C45D357490}">
          <x15:cacheHierarchy aggregatedColumn="28"/>
        </ext>
      </extLst>
    </cacheHierarchy>
    <cacheHierarchy uniqueName="[Measures].[Distinct Count of customer_id 2]" caption="Distinct Count of customer_id 2" measure="1" displayFolder="" measureGroup="Customers" count="0" hidden="1">
      <extLst>
        <ext xmlns:x15="http://schemas.microsoft.com/office/spreadsheetml/2010/11/main" uri="{B97F6D7D-B522-45F9-BDA1-12C45D357490}">
          <x15:cacheHierarchy aggregatedColumn="0"/>
        </ext>
      </extLst>
    </cacheHierarchy>
  </cacheHierarchies>
  <kpis count="0"/>
  <dimensions count="6">
    <dimension name="Customers" uniqueName="[Customers]" caption="Customers"/>
    <dimension measure="1" name="Measures" uniqueName="[Measures]" caption="Measures"/>
    <dimension name="Order_details" uniqueName="[Order_details]" caption="Order_details"/>
    <dimension name="Orders" uniqueName="[Orders]" caption="Orders"/>
    <dimension name="Payments" uniqueName="[Payments]" caption="Payments"/>
    <dimension name="Products" uniqueName="[Products]" caption="Products"/>
  </dimensions>
  <measureGroups count="5">
    <measureGroup name="Customers" caption="Customers"/>
    <measureGroup name="Order_details" caption="Order_details"/>
    <measureGroup name="Orders" caption="Orders"/>
    <measureGroup name="Payments" caption="Payments"/>
    <measureGroup name="Products" caption="Products"/>
  </measureGroups>
  <maps count="11">
    <map measureGroup="0" dimension="0"/>
    <map measureGroup="1" dimension="0"/>
    <map measureGroup="1" dimension="2"/>
    <map measureGroup="1" dimension="3"/>
    <map measureGroup="1" dimension="4"/>
    <map measureGroup="1" dimension="5"/>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dhi Jamgade" refreshedDate="46266.542745949075" backgroundQuery="1" createdVersion="8" refreshedVersion="8" minRefreshableVersion="3" recordCount="0" supportSubquery="1" supportAdvancedDrill="1" xr:uid="{D30503D0-6767-4C4A-9A05-4E69107C300F}">
  <cacheSource type="external" connectionId="6"/>
  <cacheFields count="2">
    <cacheField name="[Products].[product_name].[product_name]" caption="product_name" numFmtId="0" hierarchy="26" level="1">
      <sharedItems count="5">
        <s v="Desk"/>
        <s v="Headphones"/>
        <s v="Laptop"/>
        <s v="Office Chair"/>
        <s v="Smartphone"/>
      </sharedItems>
    </cacheField>
    <cacheField name="[Measures].[Sum of Revenue]" caption="Sum of Revenue" numFmtId="0" hierarchy="36" level="32767"/>
  </cacheFields>
  <cacheHierarchies count="49">
    <cacheHierarchy uniqueName="[Customers].[customer_id]" caption="customer_id" attribute="1" defaultMemberUniqueName="[Customers].[customer_id].[All]" allUniqueName="[Customers].[customer_id].[All]" dimensionUniqueName="[Customers]" displayFolder="" count="2" memberValueDatatype="20" unbalanced="0"/>
    <cacheHierarchy uniqueName="[Customers].[customer_name]" caption="customer_name" attribute="1" defaultMemberUniqueName="[Customers].[customer_name].[All]" allUniqueName="[Customers].[customer_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state]" caption="state" attribute="1" defaultMemberUniqueName="[Customers].[state].[All]" allUniqueName="[Customers].[state].[All]" dimensionUniqueName="[Customers]" displayFolder="" count="2" memberValueDatatype="130" unbalanced="0"/>
    <cacheHierarchy uniqueName="[Customers].[signup_date]" caption="signup_date" attribute="1" time="1" defaultMemberUniqueName="[Customers].[signup_date].[All]" allUniqueName="[Customers].[signup_date].[All]" dimensionUniqueName="[Customers]" displayFolder="" count="2" memberValueDatatype="7" unbalanced="0"/>
    <cacheHierarchy uniqueName="[Order_details].[order_detail_id]" caption="order_detail_id" attribute="1" defaultMemberUniqueName="[Order_details].[order_detail_id].[All]" allUniqueName="[Order_details].[order_detail_id].[All]" dimensionUniqueName="[Order_details]" displayFolder="" count="2" memberValueDatatype="20" unbalanced="0"/>
    <cacheHierarchy uniqueName="[Order_details].[order_id]" caption="order_id" attribute="1" defaultMemberUniqueName="[Order_details].[order_id].[All]" allUniqueName="[Order_details].[order_id].[All]" dimensionUniqueName="[Order_details]" displayFolder="" count="2" memberValueDatatype="20" unbalanced="0"/>
    <cacheHierarchy uniqueName="[Order_details].[product_id]" caption="product_id" attribute="1" defaultMemberUniqueName="[Order_details].[product_id].[All]" allUniqueName="[Order_details].[product_id].[All]" dimensionUniqueName="[Order_details]" displayFolder="" count="2" memberValueDatatype="20" unbalanced="0"/>
    <cacheHierarchy uniqueName="[Order_details].[quantity]" caption="quantity" attribute="1" defaultMemberUniqueName="[Order_details].[quantity].[All]" allUniqueName="[Order_details].[quantity].[All]" dimensionUniqueName="[Order_details]" displayFolder="" count="2" memberValueDatatype="20" unbalanced="0"/>
    <cacheHierarchy uniqueName="[Order_details].[Revenue]" caption="Revenue" attribute="1" defaultMemberUniqueName="[Order_details].[Revenue].[All]" allUniqueName="[Order_details].[Revenue].[All]" dimensionUniqueName="[Order_details]" displayFolder="" count="2" memberValueDatatype="20" unbalanced="0"/>
    <cacheHierarchy uniqueName="[Order_details].[Category]" caption="Category" attribute="1" defaultMemberUniqueName="[Order_details].[Category].[All]" allUniqueName="[Order_details].[Category].[All]" dimensionUniqueName="[Order_details]" displayFolder="" count="2" memberValueDatatype="130" unbalanced="0"/>
    <cacheHierarchy uniqueName="[Order_details].[Product Name]" caption="Product Name" attribute="1" defaultMemberUniqueName="[Order_details].[Product Name].[All]" allUniqueName="[Order_details].[Product Name].[All]" dimensionUniqueName="[Order_detail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status]" caption="order_status" attribute="1" defaultMemberUniqueName="[Orders].[order_status].[All]" allUniqueName="[Orders].[order_status].[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Orders].[order_date (Year)]" caption="order_date (Year)" attribute="1" defaultMemberUniqueName="[Orders].[order_date (Year)].[All]" allUniqueName="[Orders].[order_date (Year)].[All]" dimensionUniqueName="[Orders]" displayFolder="" count="2" memberValueDatatype="130" unbalanced="0"/>
    <cacheHierarchy uniqueName="[Payments].[payment_id]" caption="payment_id" attribute="1" defaultMemberUniqueName="[Payments].[payment_id].[All]" allUniqueName="[Payments].[payment_id].[All]" dimensionUniqueName="[Payments]" displayFolder="" count="2" memberValueDatatype="20" unbalanced="0"/>
    <cacheHierarchy uniqueName="[Payments].[order_id]" caption="order_id" attribute="1" defaultMemberUniqueName="[Payments].[order_id].[All]" allUniqueName="[Payments].[order_id].[All]" dimensionUniqueName="[Payments]" displayFolder="" count="2" memberValueDatatype="20" unbalanced="0"/>
    <cacheHierarchy uniqueName="[Payments].[payment_date]" caption="payment_date" attribute="1" time="1" defaultMemberUniqueName="[Payments].[payment_date].[All]" allUniqueName="[Payments].[payment_date].[All]" dimensionUniqueName="[Payments]" displayFolder="" count="2" memberValueDatatype="7" unbalanced="0"/>
    <cacheHierarchy uniqueName="[Payments].[payment_method]" caption="payment_method" attribute="1" defaultMemberUniqueName="[Payments].[payment_method].[All]" allUniqueName="[Payments].[payment_method].[All]" dimensionUniqueName="[Payments]" displayFolder="" count="2" memberValueDatatype="130" unbalanced="0"/>
    <cacheHierarchy uniqueName="[Payments].[amount]" caption="amount" attribute="1" defaultMemberUniqueName="[Payments].[amount].[All]" allUniqueName="[Payments].[amount].[All]" dimensionUniqueName="[Payments]" displayFolder="" count="2" memberValueDatatype="20" unbalanced="0"/>
    <cacheHierarchy uniqueName="[Payments].[payment_status]" caption="payment_status" attribute="1" defaultMemberUniqueName="[Payments].[payment_status].[All]" allUniqueName="[Payments].[payment_status].[All]" dimensionUniqueName="[Payment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caption="price" attribute="1" defaultMemberUniqueName="[Products].[price].[All]" allUniqueName="[Products].[price].[All]" dimensionUniqueName="[Products]" displayFolder="" count="2" memberValueDatatype="20" unbalanced="0"/>
    <cacheHierarchy uniqueName="[Orders].[order_date (Month Index)]" caption="order_date (Month Index)" attribute="1" defaultMemberUniqueName="[Orders].[order_date (Month Index)].[All]" allUniqueName="[Orders].[order_date (Month Index)].[All]" dimensionUniqueName="[Orders]" displayFolder="" count="2" memberValueDatatype="20" unbalanced="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Order_details]" caption="__XL_Count Order_details" measure="1" displayFolder="" measureGroup="Order_detail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_details"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_details" count="0" hidden="1">
      <extLst>
        <ext xmlns:x15="http://schemas.microsoft.com/office/spreadsheetml/2010/11/main" uri="{B97F6D7D-B522-45F9-BDA1-12C45D357490}">
          <x15:cacheHierarchy aggregatedColumn="8"/>
        </ext>
      </extLst>
    </cacheHierarchy>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customer_id 2]" caption="Sum of customer_id 2" measure="1" displayFolder="" measureGroup="Orders" count="0" hidden="1">
      <extLst>
        <ext xmlns:x15="http://schemas.microsoft.com/office/spreadsheetml/2010/11/main" uri="{B97F6D7D-B522-45F9-BDA1-12C45D357490}">
          <x15:cacheHierarchy aggregatedColumn="13"/>
        </ext>
      </extLst>
    </cacheHierarchy>
    <cacheHierarchy uniqueName="[Measures].[Distinct Count of customer_id]" caption="Distinct Count of customer_id" measure="1" displayFolder="" measureGroup="Orders" count="0" hidden="1">
      <extLst>
        <ext xmlns:x15="http://schemas.microsoft.com/office/spreadsheetml/2010/11/main" uri="{B97F6D7D-B522-45F9-BDA1-12C45D357490}">
          <x15:cacheHierarchy aggregatedColumn="13"/>
        </ext>
      </extLst>
    </cacheHierarchy>
    <cacheHierarchy uniqueName="[Measures].[Sum of order_detail_id]" caption="Sum of order_detail_id" measure="1" displayFolder="" measureGroup="Order_details" count="0" hidden="1">
      <extLst>
        <ext xmlns:x15="http://schemas.microsoft.com/office/spreadsheetml/2010/11/main" uri="{B97F6D7D-B522-45F9-BDA1-12C45D357490}">
          <x15:cacheHierarchy aggregatedColumn="5"/>
        </ext>
      </extLst>
    </cacheHierarchy>
    <cacheHierarchy uniqueName="[Measures].[Sum of order_id 2]" caption="Sum of order_id 2" measure="1" displayFolder="" measureGroup="Order_details" count="0" hidden="1">
      <extLst>
        <ext xmlns:x15="http://schemas.microsoft.com/office/spreadsheetml/2010/11/main" uri="{B97F6D7D-B522-45F9-BDA1-12C45D357490}">
          <x15:cacheHierarchy aggregatedColumn="6"/>
        </ext>
      </extLst>
    </cacheHierarchy>
    <cacheHierarchy uniqueName="[Measures].[Sum of amount]" caption="Sum of amount" measure="1" displayFolder="" measureGroup="Payments" count="0" hidden="1">
      <extLst>
        <ext xmlns:x15="http://schemas.microsoft.com/office/spreadsheetml/2010/11/main" uri="{B97F6D7D-B522-45F9-BDA1-12C45D357490}">
          <x15:cacheHierarchy aggregatedColumn="23"/>
        </ext>
      </extLst>
    </cacheHierarchy>
    <cacheHierarchy uniqueName="[Measures].[Sum of price]" caption="Sum of price" measure="1" displayFolder="" measureGroup="Products" count="0" hidden="1">
      <extLst>
        <ext xmlns:x15="http://schemas.microsoft.com/office/spreadsheetml/2010/11/main" uri="{B97F6D7D-B522-45F9-BDA1-12C45D357490}">
          <x15:cacheHierarchy aggregatedColumn="28"/>
        </ext>
      </extLst>
    </cacheHierarchy>
    <cacheHierarchy uniqueName="[Measures].[Distinct Count of customer_id 2]" caption="Distinct Count of customer_id 2" measure="1" displayFolder="" measureGroup="Customers" count="0" hidden="1">
      <extLst>
        <ext xmlns:x15="http://schemas.microsoft.com/office/spreadsheetml/2010/11/main" uri="{B97F6D7D-B522-45F9-BDA1-12C45D357490}">
          <x15:cacheHierarchy aggregatedColumn="0"/>
        </ext>
      </extLst>
    </cacheHierarchy>
  </cacheHierarchies>
  <kpis count="0"/>
  <dimensions count="6">
    <dimension name="Customers" uniqueName="[Customers]" caption="Customers"/>
    <dimension measure="1" name="Measures" uniqueName="[Measures]" caption="Measures"/>
    <dimension name="Order_details" uniqueName="[Order_details]" caption="Order_details"/>
    <dimension name="Orders" uniqueName="[Orders]" caption="Orders"/>
    <dimension name="Payments" uniqueName="[Payments]" caption="Payments"/>
    <dimension name="Products" uniqueName="[Products]" caption="Products"/>
  </dimensions>
  <measureGroups count="5">
    <measureGroup name="Customers" caption="Customers"/>
    <measureGroup name="Order_details" caption="Order_details"/>
    <measureGroup name="Orders" caption="Orders"/>
    <measureGroup name="Payments" caption="Payments"/>
    <measureGroup name="Products" caption="Products"/>
  </measureGroups>
  <maps count="11">
    <map measureGroup="0" dimension="0"/>
    <map measureGroup="1" dimension="0"/>
    <map measureGroup="1" dimension="2"/>
    <map measureGroup="1" dimension="3"/>
    <map measureGroup="1" dimension="4"/>
    <map measureGroup="1" dimension="5"/>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dhi Jamgade" refreshedDate="46266.542746643521" backgroundQuery="1" createdVersion="8" refreshedVersion="8" minRefreshableVersion="3" recordCount="0" supportSubquery="1" supportAdvancedDrill="1" xr:uid="{FF209E26-935D-4DB0-94F0-F49C21DE5CC7}">
  <cacheSource type="external" connectionId="6"/>
  <cacheFields count="2">
    <cacheField name="[Products].[category].[category]" caption="category" numFmtId="0" hierarchy="27" level="1">
      <sharedItems count="5">
        <s v="Accessories"/>
        <s v="Electronics"/>
        <s v="Furniture"/>
        <s v="Lifestyle"/>
        <s v="Stationery"/>
      </sharedItems>
    </cacheField>
    <cacheField name="[Measures].[Sum of Revenue]" caption="Sum of Revenue" numFmtId="0" hierarchy="36" level="32767"/>
  </cacheFields>
  <cacheHierarchies count="49">
    <cacheHierarchy uniqueName="[Customers].[customer_id]" caption="customer_id" attribute="1" defaultMemberUniqueName="[Customers].[customer_id].[All]" allUniqueName="[Customers].[customer_id].[All]" dimensionUniqueName="[Customers]" displayFolder="" count="2" memberValueDatatype="20" unbalanced="0"/>
    <cacheHierarchy uniqueName="[Customers].[customer_name]" caption="customer_name" attribute="1" defaultMemberUniqueName="[Customers].[customer_name].[All]" allUniqueName="[Customers].[customer_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state]" caption="state" attribute="1" defaultMemberUniqueName="[Customers].[state].[All]" allUniqueName="[Customers].[state].[All]" dimensionUniqueName="[Customers]" displayFolder="" count="2" memberValueDatatype="130" unbalanced="0"/>
    <cacheHierarchy uniqueName="[Customers].[signup_date]" caption="signup_date" attribute="1" time="1" defaultMemberUniqueName="[Customers].[signup_date].[All]" allUniqueName="[Customers].[signup_date].[All]" dimensionUniqueName="[Customers]" displayFolder="" count="2" memberValueDatatype="7" unbalanced="0"/>
    <cacheHierarchy uniqueName="[Order_details].[order_detail_id]" caption="order_detail_id" attribute="1" defaultMemberUniqueName="[Order_details].[order_detail_id].[All]" allUniqueName="[Order_details].[order_detail_id].[All]" dimensionUniqueName="[Order_details]" displayFolder="" count="2" memberValueDatatype="20" unbalanced="0"/>
    <cacheHierarchy uniqueName="[Order_details].[order_id]" caption="order_id" attribute="1" defaultMemberUniqueName="[Order_details].[order_id].[All]" allUniqueName="[Order_details].[order_id].[All]" dimensionUniqueName="[Order_details]" displayFolder="" count="2" memberValueDatatype="20" unbalanced="0"/>
    <cacheHierarchy uniqueName="[Order_details].[product_id]" caption="product_id" attribute="1" defaultMemberUniqueName="[Order_details].[product_id].[All]" allUniqueName="[Order_details].[product_id].[All]" dimensionUniqueName="[Order_details]" displayFolder="" count="2" memberValueDatatype="20" unbalanced="0"/>
    <cacheHierarchy uniqueName="[Order_details].[quantity]" caption="quantity" attribute="1" defaultMemberUniqueName="[Order_details].[quantity].[All]" allUniqueName="[Order_details].[quantity].[All]" dimensionUniqueName="[Order_details]" displayFolder="" count="2" memberValueDatatype="20" unbalanced="0"/>
    <cacheHierarchy uniqueName="[Order_details].[Revenue]" caption="Revenue" attribute="1" defaultMemberUniqueName="[Order_details].[Revenue].[All]" allUniqueName="[Order_details].[Revenue].[All]" dimensionUniqueName="[Order_details]" displayFolder="" count="2" memberValueDatatype="20" unbalanced="0"/>
    <cacheHierarchy uniqueName="[Order_details].[Category]" caption="Category" attribute="1" defaultMemberUniqueName="[Order_details].[Category].[All]" allUniqueName="[Order_details].[Category].[All]" dimensionUniqueName="[Order_details]" displayFolder="" count="2" memberValueDatatype="130" unbalanced="0"/>
    <cacheHierarchy uniqueName="[Order_details].[Product Name]" caption="Product Name" attribute="1" defaultMemberUniqueName="[Order_details].[Product Name].[All]" allUniqueName="[Order_details].[Product Name].[All]" dimensionUniqueName="[Order_detail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status]" caption="order_status" attribute="1" defaultMemberUniqueName="[Orders].[order_status].[All]" allUniqueName="[Orders].[order_status].[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Orders].[order_date (Year)]" caption="order_date (Year)" attribute="1" defaultMemberUniqueName="[Orders].[order_date (Year)].[All]" allUniqueName="[Orders].[order_date (Year)].[All]" dimensionUniqueName="[Orders]" displayFolder="" count="2" memberValueDatatype="130" unbalanced="0"/>
    <cacheHierarchy uniqueName="[Payments].[payment_id]" caption="payment_id" attribute="1" defaultMemberUniqueName="[Payments].[payment_id].[All]" allUniqueName="[Payments].[payment_id].[All]" dimensionUniqueName="[Payments]" displayFolder="" count="2" memberValueDatatype="20" unbalanced="0"/>
    <cacheHierarchy uniqueName="[Payments].[order_id]" caption="order_id" attribute="1" defaultMemberUniqueName="[Payments].[order_id].[All]" allUniqueName="[Payments].[order_id].[All]" dimensionUniqueName="[Payments]" displayFolder="" count="2" memberValueDatatype="20" unbalanced="0"/>
    <cacheHierarchy uniqueName="[Payments].[payment_date]" caption="payment_date" attribute="1" time="1" defaultMemberUniqueName="[Payments].[payment_date].[All]" allUniqueName="[Payments].[payment_date].[All]" dimensionUniqueName="[Payments]" displayFolder="" count="2" memberValueDatatype="7" unbalanced="0"/>
    <cacheHierarchy uniqueName="[Payments].[payment_method]" caption="payment_method" attribute="1" defaultMemberUniqueName="[Payments].[payment_method].[All]" allUniqueName="[Payments].[payment_method].[All]" dimensionUniqueName="[Payments]" displayFolder="" count="2" memberValueDatatype="130" unbalanced="0"/>
    <cacheHierarchy uniqueName="[Payments].[amount]" caption="amount" attribute="1" defaultMemberUniqueName="[Payments].[amount].[All]" allUniqueName="[Payments].[amount].[All]" dimensionUniqueName="[Payments]" displayFolder="" count="2" memberValueDatatype="20" unbalanced="0"/>
    <cacheHierarchy uniqueName="[Payments].[payment_status]" caption="payment_status" attribute="1" defaultMemberUniqueName="[Payments].[payment_status].[All]" allUniqueName="[Payments].[payment_status].[All]" dimensionUniqueName="[Payment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caption="price" attribute="1" defaultMemberUniqueName="[Products].[price].[All]" allUniqueName="[Products].[price].[All]" dimensionUniqueName="[Products]" displayFolder="" count="2" memberValueDatatype="20" unbalanced="0"/>
    <cacheHierarchy uniqueName="[Orders].[order_date (Month Index)]" caption="order_date (Month Index)" attribute="1" defaultMemberUniqueName="[Orders].[order_date (Month Index)].[All]" allUniqueName="[Orders].[order_date (Month Index)].[All]" dimensionUniqueName="[Orders]" displayFolder="" count="2" memberValueDatatype="20" unbalanced="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Order_details]" caption="__XL_Count Order_details" measure="1" displayFolder="" measureGroup="Order_detail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_details"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_details" count="0" hidden="1">
      <extLst>
        <ext xmlns:x15="http://schemas.microsoft.com/office/spreadsheetml/2010/11/main" uri="{B97F6D7D-B522-45F9-BDA1-12C45D357490}">
          <x15:cacheHierarchy aggregatedColumn="8"/>
        </ext>
      </extLst>
    </cacheHierarchy>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customer_id 2]" caption="Sum of customer_id 2" measure="1" displayFolder="" measureGroup="Orders" count="0" hidden="1">
      <extLst>
        <ext xmlns:x15="http://schemas.microsoft.com/office/spreadsheetml/2010/11/main" uri="{B97F6D7D-B522-45F9-BDA1-12C45D357490}">
          <x15:cacheHierarchy aggregatedColumn="13"/>
        </ext>
      </extLst>
    </cacheHierarchy>
    <cacheHierarchy uniqueName="[Measures].[Distinct Count of customer_id]" caption="Distinct Count of customer_id" measure="1" displayFolder="" measureGroup="Orders" count="0" hidden="1">
      <extLst>
        <ext xmlns:x15="http://schemas.microsoft.com/office/spreadsheetml/2010/11/main" uri="{B97F6D7D-B522-45F9-BDA1-12C45D357490}">
          <x15:cacheHierarchy aggregatedColumn="13"/>
        </ext>
      </extLst>
    </cacheHierarchy>
    <cacheHierarchy uniqueName="[Measures].[Sum of order_detail_id]" caption="Sum of order_detail_id" measure="1" displayFolder="" measureGroup="Order_details" count="0" hidden="1">
      <extLst>
        <ext xmlns:x15="http://schemas.microsoft.com/office/spreadsheetml/2010/11/main" uri="{B97F6D7D-B522-45F9-BDA1-12C45D357490}">
          <x15:cacheHierarchy aggregatedColumn="5"/>
        </ext>
      </extLst>
    </cacheHierarchy>
    <cacheHierarchy uniqueName="[Measures].[Sum of order_id 2]" caption="Sum of order_id 2" measure="1" displayFolder="" measureGroup="Order_details" count="0" hidden="1">
      <extLst>
        <ext xmlns:x15="http://schemas.microsoft.com/office/spreadsheetml/2010/11/main" uri="{B97F6D7D-B522-45F9-BDA1-12C45D357490}">
          <x15:cacheHierarchy aggregatedColumn="6"/>
        </ext>
      </extLst>
    </cacheHierarchy>
    <cacheHierarchy uniqueName="[Measures].[Sum of amount]" caption="Sum of amount" measure="1" displayFolder="" measureGroup="Payments" count="0" hidden="1">
      <extLst>
        <ext xmlns:x15="http://schemas.microsoft.com/office/spreadsheetml/2010/11/main" uri="{B97F6D7D-B522-45F9-BDA1-12C45D357490}">
          <x15:cacheHierarchy aggregatedColumn="23"/>
        </ext>
      </extLst>
    </cacheHierarchy>
    <cacheHierarchy uniqueName="[Measures].[Sum of price]" caption="Sum of price" measure="1" displayFolder="" measureGroup="Products" count="0" hidden="1">
      <extLst>
        <ext xmlns:x15="http://schemas.microsoft.com/office/spreadsheetml/2010/11/main" uri="{B97F6D7D-B522-45F9-BDA1-12C45D357490}">
          <x15:cacheHierarchy aggregatedColumn="28"/>
        </ext>
      </extLst>
    </cacheHierarchy>
    <cacheHierarchy uniqueName="[Measures].[Distinct Count of customer_id 2]" caption="Distinct Count of customer_id 2" measure="1" displayFolder="" measureGroup="Customers" count="0" hidden="1">
      <extLst>
        <ext xmlns:x15="http://schemas.microsoft.com/office/spreadsheetml/2010/11/main" uri="{B97F6D7D-B522-45F9-BDA1-12C45D357490}">
          <x15:cacheHierarchy aggregatedColumn="0"/>
        </ext>
      </extLst>
    </cacheHierarchy>
  </cacheHierarchies>
  <kpis count="0"/>
  <dimensions count="6">
    <dimension name="Customers" uniqueName="[Customers]" caption="Customers"/>
    <dimension measure="1" name="Measures" uniqueName="[Measures]" caption="Measures"/>
    <dimension name="Order_details" uniqueName="[Order_details]" caption="Order_details"/>
    <dimension name="Orders" uniqueName="[Orders]" caption="Orders"/>
    <dimension name="Payments" uniqueName="[Payments]" caption="Payments"/>
    <dimension name="Products" uniqueName="[Products]" caption="Products"/>
  </dimensions>
  <measureGroups count="5">
    <measureGroup name="Customers" caption="Customers"/>
    <measureGroup name="Order_details" caption="Order_details"/>
    <measureGroup name="Orders" caption="Orders"/>
    <measureGroup name="Payments" caption="Payments"/>
    <measureGroup name="Products" caption="Products"/>
  </measureGroups>
  <maps count="11">
    <map measureGroup="0" dimension="0"/>
    <map measureGroup="1" dimension="0"/>
    <map measureGroup="1" dimension="2"/>
    <map measureGroup="1" dimension="3"/>
    <map measureGroup="1" dimension="4"/>
    <map measureGroup="1" dimension="5"/>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dhi Jamgade" refreshedDate="46266.542747453706" backgroundQuery="1" createdVersion="8" refreshedVersion="8" minRefreshableVersion="3" recordCount="0" supportSubquery="1" supportAdvancedDrill="1" xr:uid="{BFF12B96-57F1-4B5E-BE8C-23799DCFF22C}">
  <cacheSource type="external" connectionId="6"/>
  <cacheFields count="3">
    <cacheField name="[Orders].[order_date (Month)].[order_date (Month)]" caption="order_date (Month)" numFmtId="0" hierarchy="17" level="1">
      <sharedItems count="5">
        <s v="Jan"/>
        <s v="Feb"/>
        <s v="Mar"/>
        <s v="Apr"/>
        <s v="May"/>
      </sharedItems>
    </cacheField>
    <cacheField name="[Orders].[order_date (Year)].[order_date (Year)]" caption="order_date (Year)" numFmtId="0" hierarchy="18" level="1">
      <sharedItems count="1">
        <s v="2024"/>
      </sharedItems>
    </cacheField>
    <cacheField name="[Measures].[Count of order_id]" caption="Count of order_id" numFmtId="0" hierarchy="38" level="32767"/>
  </cacheFields>
  <cacheHierarchies count="49">
    <cacheHierarchy uniqueName="[Customers].[customer_id]" caption="customer_id" attribute="1" defaultMemberUniqueName="[Customers].[customer_id].[All]" allUniqueName="[Customers].[customer_id].[All]" dimensionUniqueName="[Customers]" displayFolder="" count="2" memberValueDatatype="20" unbalanced="0"/>
    <cacheHierarchy uniqueName="[Customers].[customer_name]" caption="customer_name" attribute="1" defaultMemberUniqueName="[Customers].[customer_name].[All]" allUniqueName="[Customers].[customer_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state]" caption="state" attribute="1" defaultMemberUniqueName="[Customers].[state].[All]" allUniqueName="[Customers].[state].[All]" dimensionUniqueName="[Customers]" displayFolder="" count="2" memberValueDatatype="130" unbalanced="0"/>
    <cacheHierarchy uniqueName="[Customers].[signup_date]" caption="signup_date" attribute="1" time="1" defaultMemberUniqueName="[Customers].[signup_date].[All]" allUniqueName="[Customers].[signup_date].[All]" dimensionUniqueName="[Customers]" displayFolder="" count="2" memberValueDatatype="7" unbalanced="0"/>
    <cacheHierarchy uniqueName="[Order_details].[order_detail_id]" caption="order_detail_id" attribute="1" defaultMemberUniqueName="[Order_details].[order_detail_id].[All]" allUniqueName="[Order_details].[order_detail_id].[All]" dimensionUniqueName="[Order_details]" displayFolder="" count="2" memberValueDatatype="20" unbalanced="0"/>
    <cacheHierarchy uniqueName="[Order_details].[order_id]" caption="order_id" attribute="1" defaultMemberUniqueName="[Order_details].[order_id].[All]" allUniqueName="[Order_details].[order_id].[All]" dimensionUniqueName="[Order_details]" displayFolder="" count="2" memberValueDatatype="20" unbalanced="0"/>
    <cacheHierarchy uniqueName="[Order_details].[product_id]" caption="product_id" attribute="1" defaultMemberUniqueName="[Order_details].[product_id].[All]" allUniqueName="[Order_details].[product_id].[All]" dimensionUniqueName="[Order_details]" displayFolder="" count="2" memberValueDatatype="20" unbalanced="0"/>
    <cacheHierarchy uniqueName="[Order_details].[quantity]" caption="quantity" attribute="1" defaultMemberUniqueName="[Order_details].[quantity].[All]" allUniqueName="[Order_details].[quantity].[All]" dimensionUniqueName="[Order_details]" displayFolder="" count="2" memberValueDatatype="20" unbalanced="0"/>
    <cacheHierarchy uniqueName="[Order_details].[Revenue]" caption="Revenue" attribute="1" defaultMemberUniqueName="[Order_details].[Revenue].[All]" allUniqueName="[Order_details].[Revenue].[All]" dimensionUniqueName="[Order_details]" displayFolder="" count="2" memberValueDatatype="20" unbalanced="0"/>
    <cacheHierarchy uniqueName="[Order_details].[Category]" caption="Category" attribute="1" defaultMemberUniqueName="[Order_details].[Category].[All]" allUniqueName="[Order_details].[Category].[All]" dimensionUniqueName="[Order_details]" displayFolder="" count="2" memberValueDatatype="130" unbalanced="0"/>
    <cacheHierarchy uniqueName="[Order_details].[Product Name]" caption="Product Name" attribute="1" defaultMemberUniqueName="[Order_details].[Product Name].[All]" allUniqueName="[Order_details].[Product Name].[All]" dimensionUniqueName="[Order_detail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status]" caption="order_status" attribute="1" defaultMemberUniqueName="[Orders].[order_status].[All]" allUniqueName="[Orders].[order_status].[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fieldsUsage count="2">
        <fieldUsage x="-1"/>
        <fieldUsage x="0"/>
      </fieldsUsage>
    </cacheHierarchy>
    <cacheHierarchy uniqueName="[Orders].[order_date (Year)]" caption="order_date (Year)" attribute="1" defaultMemberUniqueName="[Orders].[order_date (Year)].[All]" allUniqueName="[Orders].[order_date (Year)].[All]" dimensionUniqueName="[Orders]" displayFolder="" count="2" memberValueDatatype="130" unbalanced="0">
      <fieldsUsage count="2">
        <fieldUsage x="-1"/>
        <fieldUsage x="1"/>
      </fieldsUsage>
    </cacheHierarchy>
    <cacheHierarchy uniqueName="[Payments].[payment_id]" caption="payment_id" attribute="1" defaultMemberUniqueName="[Payments].[payment_id].[All]" allUniqueName="[Payments].[payment_id].[All]" dimensionUniqueName="[Payments]" displayFolder="" count="2" memberValueDatatype="20" unbalanced="0"/>
    <cacheHierarchy uniqueName="[Payments].[order_id]" caption="order_id" attribute="1" defaultMemberUniqueName="[Payments].[order_id].[All]" allUniqueName="[Payments].[order_id].[All]" dimensionUniqueName="[Payments]" displayFolder="" count="2" memberValueDatatype="20" unbalanced="0"/>
    <cacheHierarchy uniqueName="[Payments].[payment_date]" caption="payment_date" attribute="1" time="1" defaultMemberUniqueName="[Payments].[payment_date].[All]" allUniqueName="[Payments].[payment_date].[All]" dimensionUniqueName="[Payments]" displayFolder="" count="2" memberValueDatatype="7" unbalanced="0"/>
    <cacheHierarchy uniqueName="[Payments].[payment_method]" caption="payment_method" attribute="1" defaultMemberUniqueName="[Payments].[payment_method].[All]" allUniqueName="[Payments].[payment_method].[All]" dimensionUniqueName="[Payments]" displayFolder="" count="2" memberValueDatatype="130" unbalanced="0"/>
    <cacheHierarchy uniqueName="[Payments].[amount]" caption="amount" attribute="1" defaultMemberUniqueName="[Payments].[amount].[All]" allUniqueName="[Payments].[amount].[All]" dimensionUniqueName="[Payments]" displayFolder="" count="2" memberValueDatatype="20" unbalanced="0"/>
    <cacheHierarchy uniqueName="[Payments].[payment_status]" caption="payment_status" attribute="1" defaultMemberUniqueName="[Payments].[payment_status].[All]" allUniqueName="[Payments].[payment_status].[All]" dimensionUniqueName="[Payment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caption="price" attribute="1" defaultMemberUniqueName="[Products].[price].[All]" allUniqueName="[Products].[price].[All]" dimensionUniqueName="[Products]" displayFolder="" count="2" memberValueDatatype="20" unbalanced="0"/>
    <cacheHierarchy uniqueName="[Orders].[order_date (Month Index)]" caption="order_date (Month Index)" attribute="1" defaultMemberUniqueName="[Orders].[order_date (Month Index)].[All]" allUniqueName="[Orders].[order_date (Month Index)].[All]" dimensionUniqueName="[Orders]" displayFolder="" count="2" memberValueDatatype="20" unbalanced="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Order_details]" caption="__XL_Count Order_details" measure="1" displayFolder="" measureGroup="Order_detail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_details" count="0" hidden="1">
      <extLst>
        <ext xmlns:x15="http://schemas.microsoft.com/office/spreadsheetml/2010/11/main" uri="{B97F6D7D-B522-45F9-BDA1-12C45D357490}">
          <x15:cacheHierarchy aggregatedColumn="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_details" count="0" hidden="1">
      <extLst>
        <ext xmlns:x15="http://schemas.microsoft.com/office/spreadsheetml/2010/11/main" uri="{B97F6D7D-B522-45F9-BDA1-12C45D357490}">
          <x15:cacheHierarchy aggregatedColumn="8"/>
        </ext>
      </extLst>
    </cacheHierarchy>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customer_id 2]" caption="Sum of customer_id 2" measure="1" displayFolder="" measureGroup="Orders" count="0" hidden="1">
      <extLst>
        <ext xmlns:x15="http://schemas.microsoft.com/office/spreadsheetml/2010/11/main" uri="{B97F6D7D-B522-45F9-BDA1-12C45D357490}">
          <x15:cacheHierarchy aggregatedColumn="13"/>
        </ext>
      </extLst>
    </cacheHierarchy>
    <cacheHierarchy uniqueName="[Measures].[Distinct Count of customer_id]" caption="Distinct Count of customer_id" measure="1" displayFolder="" measureGroup="Orders" count="0" hidden="1">
      <extLst>
        <ext xmlns:x15="http://schemas.microsoft.com/office/spreadsheetml/2010/11/main" uri="{B97F6D7D-B522-45F9-BDA1-12C45D357490}">
          <x15:cacheHierarchy aggregatedColumn="13"/>
        </ext>
      </extLst>
    </cacheHierarchy>
    <cacheHierarchy uniqueName="[Measures].[Sum of order_detail_id]" caption="Sum of order_detail_id" measure="1" displayFolder="" measureGroup="Order_details" count="0" hidden="1">
      <extLst>
        <ext xmlns:x15="http://schemas.microsoft.com/office/spreadsheetml/2010/11/main" uri="{B97F6D7D-B522-45F9-BDA1-12C45D357490}">
          <x15:cacheHierarchy aggregatedColumn="5"/>
        </ext>
      </extLst>
    </cacheHierarchy>
    <cacheHierarchy uniqueName="[Measures].[Sum of order_id 2]" caption="Sum of order_id 2" measure="1" displayFolder="" measureGroup="Order_details" count="0" hidden="1">
      <extLst>
        <ext xmlns:x15="http://schemas.microsoft.com/office/spreadsheetml/2010/11/main" uri="{B97F6D7D-B522-45F9-BDA1-12C45D357490}">
          <x15:cacheHierarchy aggregatedColumn="6"/>
        </ext>
      </extLst>
    </cacheHierarchy>
    <cacheHierarchy uniqueName="[Measures].[Sum of amount]" caption="Sum of amount" measure="1" displayFolder="" measureGroup="Payments" count="0" hidden="1">
      <extLst>
        <ext xmlns:x15="http://schemas.microsoft.com/office/spreadsheetml/2010/11/main" uri="{B97F6D7D-B522-45F9-BDA1-12C45D357490}">
          <x15:cacheHierarchy aggregatedColumn="23"/>
        </ext>
      </extLst>
    </cacheHierarchy>
    <cacheHierarchy uniqueName="[Measures].[Sum of price]" caption="Sum of price" measure="1" displayFolder="" measureGroup="Products" count="0" hidden="1">
      <extLst>
        <ext xmlns:x15="http://schemas.microsoft.com/office/spreadsheetml/2010/11/main" uri="{B97F6D7D-B522-45F9-BDA1-12C45D357490}">
          <x15:cacheHierarchy aggregatedColumn="28"/>
        </ext>
      </extLst>
    </cacheHierarchy>
    <cacheHierarchy uniqueName="[Measures].[Distinct Count of customer_id 2]" caption="Distinct Count of customer_id 2" measure="1" displayFolder="" measureGroup="Customers" count="0" hidden="1">
      <extLst>
        <ext xmlns:x15="http://schemas.microsoft.com/office/spreadsheetml/2010/11/main" uri="{B97F6D7D-B522-45F9-BDA1-12C45D357490}">
          <x15:cacheHierarchy aggregatedColumn="0"/>
        </ext>
      </extLst>
    </cacheHierarchy>
  </cacheHierarchies>
  <kpis count="0"/>
  <dimensions count="6">
    <dimension name="Customers" uniqueName="[Customers]" caption="Customers"/>
    <dimension measure="1" name="Measures" uniqueName="[Measures]" caption="Measures"/>
    <dimension name="Order_details" uniqueName="[Order_details]" caption="Order_details"/>
    <dimension name="Orders" uniqueName="[Orders]" caption="Orders"/>
    <dimension name="Payments" uniqueName="[Payments]" caption="Payments"/>
    <dimension name="Products" uniqueName="[Products]" caption="Products"/>
  </dimensions>
  <measureGroups count="5">
    <measureGroup name="Customers" caption="Customers"/>
    <measureGroup name="Order_details" caption="Order_details"/>
    <measureGroup name="Orders" caption="Orders"/>
    <measureGroup name="Payments" caption="Payments"/>
    <measureGroup name="Products" caption="Products"/>
  </measureGroups>
  <maps count="11">
    <map measureGroup="0" dimension="0"/>
    <map measureGroup="1" dimension="0"/>
    <map measureGroup="1" dimension="2"/>
    <map measureGroup="1" dimension="3"/>
    <map measureGroup="1" dimension="4"/>
    <map measureGroup="1" dimension="5"/>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dhi Jamgade" refreshedDate="46266.542747685184" backgroundQuery="1" createdVersion="8" refreshedVersion="8" minRefreshableVersion="3" recordCount="0" supportSubquery="1" supportAdvancedDrill="1" xr:uid="{BA8E1446-7F62-45ED-92F1-88EC77EFAE86}">
  <cacheSource type="external" connectionId="6"/>
  <cacheFields count="1">
    <cacheField name="[Measures].[Sum of quantity]" caption="Sum of quantity" numFmtId="0" hierarchy="39" level="32767"/>
  </cacheFields>
  <cacheHierarchies count="49">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Order_details].[order_detail_id]" caption="order_detail_id" attribute="1" defaultMemberUniqueName="[Order_details].[order_detail_id].[All]" allUniqueName="[Order_details].[order_detail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product_id]" caption="product_id" attribute="1" defaultMemberUniqueName="[Order_details].[product_id].[All]" allUniqueName="[Order_details].[product_id].[All]" dimensionUniqueName="[Order_details]" displayFolder="" count="0" memberValueDatatype="20"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Revenue]" caption="Revenue" attribute="1" defaultMemberUniqueName="[Order_details].[Revenue].[All]" allUniqueName="[Order_details].[Revenue].[All]" dimensionUniqueName="[Order_details]" displayFolder="" count="0" memberValueDatatype="20" unbalanced="0"/>
    <cacheHierarchy uniqueName="[Order_details].[Category]" caption="Category" attribute="1" defaultMemberUniqueName="[Order_details].[Category].[All]" allUniqueName="[Order_details].[Category].[All]" dimensionUniqueName="[Order_details]" displayFolder="" count="0" memberValueDatatype="130" unbalanced="0"/>
    <cacheHierarchy uniqueName="[Order_details].[Product Name]" caption="Product Name" attribute="1" defaultMemberUniqueName="[Order_details].[Product Name].[All]" allUniqueName="[Order_details].[Product Name].[All]" dimensionUniqueName="[Order_detail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status]" caption="order_status" attribute="1" defaultMemberUniqueName="[Orders].[order_status].[All]" allUniqueName="[Orders].[order_status].[All]" dimensionUniqueName="[Orders]" displayFolder="" count="2" memberValueDatatype="130" unbalanced="0"/>
    <cacheHierarchy uniqueName="[Orders].[City]" caption="City" attribute="1" defaultMemberUniqueName="[Orders].[City].[All]" allUniqueName="[Orders].[City].[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Orders].[order_date (Year)]" caption="order_date (Year)" attribute="1" defaultMemberUniqueName="[Orders].[order_date (Year)].[All]" allUniqueName="[Orders].[order_date (Year)].[All]" dimensionUniqueName="[Orders]" displayFolder="" count="0" memberValueDatatype="130" unbalanced="0"/>
    <cacheHierarchy uniqueName="[Payments].[payment_id]" caption="payment_id" attribute="1" defaultMemberUniqueName="[Payments].[payment_id].[All]" allUniqueName="[Payments].[payment_id].[All]" dimensionUniqueName="[Payments]" displayFolder="" count="0" memberValueDatatype="20" unbalanced="0"/>
    <cacheHierarchy uniqueName="[Payments].[order_id]" caption="order_id" attribute="1" defaultMemberUniqueName="[Payments].[order_id].[All]" allUniqueName="[Payments].[order_id].[All]" dimensionUniqueName="[Payments]" displayFolder="" count="0" memberValueDatatype="20" unbalanced="0"/>
    <cacheHierarchy uniqueName="[Payments].[payment_date]" caption="payment_date" attribute="1" time="1" defaultMemberUniqueName="[Payments].[payment_date].[All]" allUniqueName="[Payments].[payment_date].[All]" dimensionUniqueName="[Payments]" displayFolder="" count="0" memberValueDatatype="7" unbalanced="0"/>
    <cacheHierarchy uniqueName="[Payments].[payment_method]" caption="payment_method" attribute="1" defaultMemberUniqueName="[Payments].[payment_method].[All]" allUniqueName="[Payments].[payment_method].[All]" dimensionUniqueName="[Payments]" displayFolder="" count="0" memberValueDatatype="130" unbalanced="0"/>
    <cacheHierarchy uniqueName="[Payments].[amount]" caption="amount" attribute="1" defaultMemberUniqueName="[Payments].[amount].[All]" allUniqueName="[Payments].[amount].[All]" dimensionUniqueName="[Payments]" displayFolder="" count="0" memberValueDatatype="20" unbalanced="0"/>
    <cacheHierarchy uniqueName="[Payments].[payment_status]" caption="payment_status" attribute="1" defaultMemberUniqueName="[Payments].[payment_status].[All]" allUniqueName="[Payments].[payment_status].[All]" dimensionUniqueName="[Payment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caption="price" attribute="1" defaultMemberUniqueName="[Products].[price].[All]" allUniqueName="[Products].[price].[All]" dimensionUniqueName="[Products]" displayFolder="" count="0" memberValueDatatype="2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Order_details]" caption="__XL_Count Order_details" measure="1" displayFolder="" measureGroup="Order_detail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_details" count="0" hidden="1">
      <extLst>
        <ext xmlns:x15="http://schemas.microsoft.com/office/spreadsheetml/2010/11/main" uri="{B97F6D7D-B522-45F9-BDA1-12C45D357490}">
          <x15:cacheHierarchy aggregatedColumn="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_details"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customer_id 2]" caption="Sum of customer_id 2" measure="1" displayFolder="" measureGroup="Orders" count="0" hidden="1">
      <extLst>
        <ext xmlns:x15="http://schemas.microsoft.com/office/spreadsheetml/2010/11/main" uri="{B97F6D7D-B522-45F9-BDA1-12C45D357490}">
          <x15:cacheHierarchy aggregatedColumn="13"/>
        </ext>
      </extLst>
    </cacheHierarchy>
    <cacheHierarchy uniqueName="[Measures].[Distinct Count of customer_id]" caption="Distinct Count of customer_id" measure="1" displayFolder="" measureGroup="Orders" count="0" hidden="1">
      <extLst>
        <ext xmlns:x15="http://schemas.microsoft.com/office/spreadsheetml/2010/11/main" uri="{B97F6D7D-B522-45F9-BDA1-12C45D357490}">
          <x15:cacheHierarchy aggregatedColumn="13"/>
        </ext>
      </extLst>
    </cacheHierarchy>
    <cacheHierarchy uniqueName="[Measures].[Sum of order_detail_id]" caption="Sum of order_detail_id" measure="1" displayFolder="" measureGroup="Order_details" count="0" hidden="1">
      <extLst>
        <ext xmlns:x15="http://schemas.microsoft.com/office/spreadsheetml/2010/11/main" uri="{B97F6D7D-B522-45F9-BDA1-12C45D357490}">
          <x15:cacheHierarchy aggregatedColumn="5"/>
        </ext>
      </extLst>
    </cacheHierarchy>
    <cacheHierarchy uniqueName="[Measures].[Sum of order_id 2]" caption="Sum of order_id 2" measure="1" displayFolder="" measureGroup="Order_details" count="0" hidden="1">
      <extLst>
        <ext xmlns:x15="http://schemas.microsoft.com/office/spreadsheetml/2010/11/main" uri="{B97F6D7D-B522-45F9-BDA1-12C45D357490}">
          <x15:cacheHierarchy aggregatedColumn="6"/>
        </ext>
      </extLst>
    </cacheHierarchy>
    <cacheHierarchy uniqueName="[Measures].[Sum of amount]" caption="Sum of amount" measure="1" displayFolder="" measureGroup="Payments" count="0" hidden="1">
      <extLst>
        <ext xmlns:x15="http://schemas.microsoft.com/office/spreadsheetml/2010/11/main" uri="{B97F6D7D-B522-45F9-BDA1-12C45D357490}">
          <x15:cacheHierarchy aggregatedColumn="23"/>
        </ext>
      </extLst>
    </cacheHierarchy>
    <cacheHierarchy uniqueName="[Measures].[Sum of price]" caption="Sum of price" measure="1" displayFolder="" measureGroup="Products" count="0" hidden="1">
      <extLst>
        <ext xmlns:x15="http://schemas.microsoft.com/office/spreadsheetml/2010/11/main" uri="{B97F6D7D-B522-45F9-BDA1-12C45D357490}">
          <x15:cacheHierarchy aggregatedColumn="28"/>
        </ext>
      </extLst>
    </cacheHierarchy>
    <cacheHierarchy uniqueName="[Measures].[Distinct Count of customer_id 2]" caption="Distinct Count of customer_id 2" measure="1" displayFolder="" measureGroup="Customers" count="0" hidden="1">
      <extLst>
        <ext xmlns:x15="http://schemas.microsoft.com/office/spreadsheetml/2010/11/main" uri="{B97F6D7D-B522-45F9-BDA1-12C45D357490}">
          <x15:cacheHierarchy aggregatedColumn="0"/>
        </ext>
      </extLst>
    </cacheHierarchy>
  </cacheHierarchies>
  <kpis count="0"/>
  <dimensions count="6">
    <dimension name="Customers" uniqueName="[Customers]" caption="Customers"/>
    <dimension measure="1" name="Measures" uniqueName="[Measures]" caption="Measures"/>
    <dimension name="Order_details" uniqueName="[Order_details]" caption="Order_details"/>
    <dimension name="Orders" uniqueName="[Orders]" caption="Orders"/>
    <dimension name="Payments" uniqueName="[Payments]" caption="Payments"/>
    <dimension name="Products" uniqueName="[Products]" caption="Products"/>
  </dimensions>
  <measureGroups count="5">
    <measureGroup name="Customers" caption="Customers"/>
    <measureGroup name="Order_details" caption="Order_details"/>
    <measureGroup name="Orders" caption="Orders"/>
    <measureGroup name="Payments" caption="Payments"/>
    <measureGroup name="Products" caption="Products"/>
  </measureGroups>
  <maps count="11">
    <map measureGroup="0" dimension="0"/>
    <map measureGroup="1" dimension="0"/>
    <map measureGroup="1" dimension="2"/>
    <map measureGroup="1" dimension="3"/>
    <map measureGroup="1" dimension="4"/>
    <map measureGroup="1" dimension="5"/>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dhi Jamgade" refreshedDate="46266.542748032407" backgroundQuery="1" createdVersion="8" refreshedVersion="8" minRefreshableVersion="3" recordCount="0" supportSubquery="1" supportAdvancedDrill="1" xr:uid="{479DB922-3A29-438C-95F1-37190240BF24}">
  <cacheSource type="external" connectionId="6"/>
  <cacheFields count="1">
    <cacheField name="[Measures].[Count of order_id]" caption="Count of order_id" numFmtId="0" hierarchy="38" level="32767"/>
  </cacheFields>
  <cacheHierarchies count="49">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Order_details].[order_detail_id]" caption="order_detail_id" attribute="1" defaultMemberUniqueName="[Order_details].[order_detail_id].[All]" allUniqueName="[Order_details].[order_detail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product_id]" caption="product_id" attribute="1" defaultMemberUniqueName="[Order_details].[product_id].[All]" allUniqueName="[Order_details].[product_id].[All]" dimensionUniqueName="[Order_details]" displayFolder="" count="0" memberValueDatatype="20"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Revenue]" caption="Revenue" attribute="1" defaultMemberUniqueName="[Order_details].[Revenue].[All]" allUniqueName="[Order_details].[Revenue].[All]" dimensionUniqueName="[Order_details]" displayFolder="" count="0" memberValueDatatype="20" unbalanced="0"/>
    <cacheHierarchy uniqueName="[Order_details].[Category]" caption="Category" attribute="1" defaultMemberUniqueName="[Order_details].[Category].[All]" allUniqueName="[Order_details].[Category].[All]" dimensionUniqueName="[Order_details]" displayFolder="" count="0" memberValueDatatype="130" unbalanced="0"/>
    <cacheHierarchy uniqueName="[Order_details].[Product Name]" caption="Product Name" attribute="1" defaultMemberUniqueName="[Order_details].[Product Name].[All]" allUniqueName="[Order_details].[Product Name].[All]" dimensionUniqueName="[Order_detail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status]" caption="order_status" attribute="1" defaultMemberUniqueName="[Orders].[order_status].[All]" allUniqueName="[Orders].[order_status].[All]" dimensionUniqueName="[Orders]" displayFolder="" count="2" memberValueDatatype="130" unbalanced="0"/>
    <cacheHierarchy uniqueName="[Orders].[City]" caption="City" attribute="1" defaultMemberUniqueName="[Orders].[City].[All]" allUniqueName="[Orders].[City].[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Orders].[order_date (Year)]" caption="order_date (Year)" attribute="1" defaultMemberUniqueName="[Orders].[order_date (Year)].[All]" allUniqueName="[Orders].[order_date (Year)].[All]" dimensionUniqueName="[Orders]" displayFolder="" count="0" memberValueDatatype="130" unbalanced="0"/>
    <cacheHierarchy uniqueName="[Payments].[payment_id]" caption="payment_id" attribute="1" defaultMemberUniqueName="[Payments].[payment_id].[All]" allUniqueName="[Payments].[payment_id].[All]" dimensionUniqueName="[Payments]" displayFolder="" count="0" memberValueDatatype="20" unbalanced="0"/>
    <cacheHierarchy uniqueName="[Payments].[order_id]" caption="order_id" attribute="1" defaultMemberUniqueName="[Payments].[order_id].[All]" allUniqueName="[Payments].[order_id].[All]" dimensionUniqueName="[Payments]" displayFolder="" count="0" memberValueDatatype="20" unbalanced="0"/>
    <cacheHierarchy uniqueName="[Payments].[payment_date]" caption="payment_date" attribute="1" time="1" defaultMemberUniqueName="[Payments].[payment_date].[All]" allUniqueName="[Payments].[payment_date].[All]" dimensionUniqueName="[Payments]" displayFolder="" count="0" memberValueDatatype="7" unbalanced="0"/>
    <cacheHierarchy uniqueName="[Payments].[payment_method]" caption="payment_method" attribute="1" defaultMemberUniqueName="[Payments].[payment_method].[All]" allUniqueName="[Payments].[payment_method].[All]" dimensionUniqueName="[Payments]" displayFolder="" count="2" memberValueDatatype="130" unbalanced="0"/>
    <cacheHierarchy uniqueName="[Payments].[amount]" caption="amount" attribute="1" defaultMemberUniqueName="[Payments].[amount].[All]" allUniqueName="[Payments].[amount].[All]" dimensionUniqueName="[Payments]" displayFolder="" count="0" memberValueDatatype="20" unbalanced="0"/>
    <cacheHierarchy uniqueName="[Payments].[payment_status]" caption="payment_status" attribute="1" defaultMemberUniqueName="[Payments].[payment_status].[All]" allUniqueName="[Payments].[payment_status].[All]" dimensionUniqueName="[Payment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caption="price" attribute="1" defaultMemberUniqueName="[Products].[price].[All]" allUniqueName="[Products].[price].[All]" dimensionUniqueName="[Products]" displayFolder="" count="0" memberValueDatatype="2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Order_details]" caption="__XL_Count Order_details" measure="1" displayFolder="" measureGroup="Order_detail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_details" count="0" hidden="1">
      <extLst>
        <ext xmlns:x15="http://schemas.microsoft.com/office/spreadsheetml/2010/11/main" uri="{B97F6D7D-B522-45F9-BDA1-12C45D357490}">
          <x15:cacheHierarchy aggregatedColumn="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_details" count="0" hidden="1">
      <extLst>
        <ext xmlns:x15="http://schemas.microsoft.com/office/spreadsheetml/2010/11/main" uri="{B97F6D7D-B522-45F9-BDA1-12C45D357490}">
          <x15:cacheHierarchy aggregatedColumn="8"/>
        </ext>
      </extLst>
    </cacheHierarchy>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customer_id 2]" caption="Sum of customer_id 2" measure="1" displayFolder="" measureGroup="Orders" count="0" hidden="1">
      <extLst>
        <ext xmlns:x15="http://schemas.microsoft.com/office/spreadsheetml/2010/11/main" uri="{B97F6D7D-B522-45F9-BDA1-12C45D357490}">
          <x15:cacheHierarchy aggregatedColumn="13"/>
        </ext>
      </extLst>
    </cacheHierarchy>
    <cacheHierarchy uniqueName="[Measures].[Distinct Count of customer_id]" caption="Distinct Count of customer_id" measure="1" displayFolder="" measureGroup="Orders" count="0" hidden="1">
      <extLst>
        <ext xmlns:x15="http://schemas.microsoft.com/office/spreadsheetml/2010/11/main" uri="{B97F6D7D-B522-45F9-BDA1-12C45D357490}">
          <x15:cacheHierarchy aggregatedColumn="13"/>
        </ext>
      </extLst>
    </cacheHierarchy>
    <cacheHierarchy uniqueName="[Measures].[Sum of order_detail_id]" caption="Sum of order_detail_id" measure="1" displayFolder="" measureGroup="Order_details" count="0" hidden="1">
      <extLst>
        <ext xmlns:x15="http://schemas.microsoft.com/office/spreadsheetml/2010/11/main" uri="{B97F6D7D-B522-45F9-BDA1-12C45D357490}">
          <x15:cacheHierarchy aggregatedColumn="5"/>
        </ext>
      </extLst>
    </cacheHierarchy>
    <cacheHierarchy uniqueName="[Measures].[Sum of order_id 2]" caption="Sum of order_id 2" measure="1" displayFolder="" measureGroup="Order_details" count="0" hidden="1">
      <extLst>
        <ext xmlns:x15="http://schemas.microsoft.com/office/spreadsheetml/2010/11/main" uri="{B97F6D7D-B522-45F9-BDA1-12C45D357490}">
          <x15:cacheHierarchy aggregatedColumn="6"/>
        </ext>
      </extLst>
    </cacheHierarchy>
    <cacheHierarchy uniqueName="[Measures].[Sum of amount]" caption="Sum of amount" measure="1" displayFolder="" measureGroup="Payments" count="0" hidden="1">
      <extLst>
        <ext xmlns:x15="http://schemas.microsoft.com/office/spreadsheetml/2010/11/main" uri="{B97F6D7D-B522-45F9-BDA1-12C45D357490}">
          <x15:cacheHierarchy aggregatedColumn="23"/>
        </ext>
      </extLst>
    </cacheHierarchy>
    <cacheHierarchy uniqueName="[Measures].[Sum of price]" caption="Sum of price" measure="1" displayFolder="" measureGroup="Products" count="0" hidden="1">
      <extLst>
        <ext xmlns:x15="http://schemas.microsoft.com/office/spreadsheetml/2010/11/main" uri="{B97F6D7D-B522-45F9-BDA1-12C45D357490}">
          <x15:cacheHierarchy aggregatedColumn="28"/>
        </ext>
      </extLst>
    </cacheHierarchy>
    <cacheHierarchy uniqueName="[Measures].[Distinct Count of customer_id 2]" caption="Distinct Count of customer_id 2" measure="1" displayFolder="" measureGroup="Customers" count="0" hidden="1">
      <extLst>
        <ext xmlns:x15="http://schemas.microsoft.com/office/spreadsheetml/2010/11/main" uri="{B97F6D7D-B522-45F9-BDA1-12C45D357490}">
          <x15:cacheHierarchy aggregatedColumn="0"/>
        </ext>
      </extLst>
    </cacheHierarchy>
  </cacheHierarchies>
  <kpis count="0"/>
  <dimensions count="6">
    <dimension name="Customers" uniqueName="[Customers]" caption="Customers"/>
    <dimension measure="1" name="Measures" uniqueName="[Measures]" caption="Measures"/>
    <dimension name="Order_details" uniqueName="[Order_details]" caption="Order_details"/>
    <dimension name="Orders" uniqueName="[Orders]" caption="Orders"/>
    <dimension name="Payments" uniqueName="[Payments]" caption="Payments"/>
    <dimension name="Products" uniqueName="[Products]" caption="Products"/>
  </dimensions>
  <measureGroups count="5">
    <measureGroup name="Customers" caption="Customers"/>
    <measureGroup name="Order_details" caption="Order_details"/>
    <measureGroup name="Orders" caption="Orders"/>
    <measureGroup name="Payments" caption="Payments"/>
    <measureGroup name="Products" caption="Products"/>
  </measureGroups>
  <maps count="11">
    <map measureGroup="0" dimension="0"/>
    <map measureGroup="1" dimension="0"/>
    <map measureGroup="1" dimension="2"/>
    <map measureGroup="1" dimension="3"/>
    <map measureGroup="1" dimension="4"/>
    <map measureGroup="1" dimension="5"/>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dhi Jamgade" refreshedDate="46266.542748263892" backgroundQuery="1" createdVersion="8" refreshedVersion="8" minRefreshableVersion="3" recordCount="0" supportSubquery="1" supportAdvancedDrill="1" xr:uid="{675A7D34-256D-4221-8AAA-899B353938A5}">
  <cacheSource type="external" connectionId="6"/>
  <cacheFields count="1">
    <cacheField name="[Measures].[Sum of Revenue]" caption="Sum of Revenue" numFmtId="0" hierarchy="36" level="32767"/>
  </cacheFields>
  <cacheHierarchies count="49">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Order_details].[order_detail_id]" caption="order_detail_id" attribute="1" defaultMemberUniqueName="[Order_details].[order_detail_id].[All]" allUniqueName="[Order_details].[order_detail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product_id]" caption="product_id" attribute="1" defaultMemberUniqueName="[Order_details].[product_id].[All]" allUniqueName="[Order_details].[product_id].[All]" dimensionUniqueName="[Order_details]" displayFolder="" count="0" memberValueDatatype="20"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Revenue]" caption="Revenue" attribute="1" defaultMemberUniqueName="[Order_details].[Revenue].[All]" allUniqueName="[Order_details].[Revenue].[All]" dimensionUniqueName="[Order_details]" displayFolder="" count="0" memberValueDatatype="20" unbalanced="0"/>
    <cacheHierarchy uniqueName="[Order_details].[Category]" caption="Category" attribute="1" defaultMemberUniqueName="[Order_details].[Category].[All]" allUniqueName="[Order_details].[Category].[All]" dimensionUniqueName="[Order_details]" displayFolder="" count="0" memberValueDatatype="130" unbalanced="0"/>
    <cacheHierarchy uniqueName="[Order_details].[Product Name]" caption="Product Name" attribute="1" defaultMemberUniqueName="[Order_details].[Product Name].[All]" allUniqueName="[Order_details].[Product Name].[All]" dimensionUniqueName="[Order_detail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status]" caption="order_status" attribute="1" defaultMemberUniqueName="[Orders].[order_status].[All]" allUniqueName="[Orders].[order_status].[All]" dimensionUniqueName="[Orders]" displayFolder="" count="2" memberValueDatatype="130" unbalanced="0"/>
    <cacheHierarchy uniqueName="[Orders].[City]" caption="City" attribute="1" defaultMemberUniqueName="[Orders].[City].[All]" allUniqueName="[Orders].[City].[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Orders].[order_date (Year)]" caption="order_date (Year)" attribute="1" defaultMemberUniqueName="[Orders].[order_date (Year)].[All]" allUniqueName="[Orders].[order_date (Year)].[All]" dimensionUniqueName="[Orders]" displayFolder="" count="0" memberValueDatatype="130" unbalanced="0"/>
    <cacheHierarchy uniqueName="[Payments].[payment_id]" caption="payment_id" attribute="1" defaultMemberUniqueName="[Payments].[payment_id].[All]" allUniqueName="[Payments].[payment_id].[All]" dimensionUniqueName="[Payments]" displayFolder="" count="0" memberValueDatatype="20" unbalanced="0"/>
    <cacheHierarchy uniqueName="[Payments].[order_id]" caption="order_id" attribute="1" defaultMemberUniqueName="[Payments].[order_id].[All]" allUniqueName="[Payments].[order_id].[All]" dimensionUniqueName="[Payments]" displayFolder="" count="0" memberValueDatatype="20" unbalanced="0"/>
    <cacheHierarchy uniqueName="[Payments].[payment_date]" caption="payment_date" attribute="1" time="1" defaultMemberUniqueName="[Payments].[payment_date].[All]" allUniqueName="[Payments].[payment_date].[All]" dimensionUniqueName="[Payments]" displayFolder="" count="0" memberValueDatatype="7" unbalanced="0"/>
    <cacheHierarchy uniqueName="[Payments].[payment_method]" caption="payment_method" attribute="1" defaultMemberUniqueName="[Payments].[payment_method].[All]" allUniqueName="[Payments].[payment_method].[All]" dimensionUniqueName="[Payments]" displayFolder="" count="2" memberValueDatatype="130" unbalanced="0"/>
    <cacheHierarchy uniqueName="[Payments].[amount]" caption="amount" attribute="1" defaultMemberUniqueName="[Payments].[amount].[All]" allUniqueName="[Payments].[amount].[All]" dimensionUniqueName="[Payments]" displayFolder="" count="0" memberValueDatatype="20" unbalanced="0"/>
    <cacheHierarchy uniqueName="[Payments].[payment_status]" caption="payment_status" attribute="1" defaultMemberUniqueName="[Payments].[payment_status].[All]" allUniqueName="[Payments].[payment_status].[All]" dimensionUniqueName="[Payment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caption="price" attribute="1" defaultMemberUniqueName="[Products].[price].[All]" allUniqueName="[Products].[price].[All]" dimensionUniqueName="[Products]" displayFolder="" count="0" memberValueDatatype="2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Order_details]" caption="__XL_Count Order_details" measure="1" displayFolder="" measureGroup="Order_detail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_details"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_details" count="0" hidden="1">
      <extLst>
        <ext xmlns:x15="http://schemas.microsoft.com/office/spreadsheetml/2010/11/main" uri="{B97F6D7D-B522-45F9-BDA1-12C45D357490}">
          <x15:cacheHierarchy aggregatedColumn="8"/>
        </ext>
      </extLst>
    </cacheHierarchy>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customer_id 2]" caption="Sum of customer_id 2" measure="1" displayFolder="" measureGroup="Orders" count="0" hidden="1">
      <extLst>
        <ext xmlns:x15="http://schemas.microsoft.com/office/spreadsheetml/2010/11/main" uri="{B97F6D7D-B522-45F9-BDA1-12C45D357490}">
          <x15:cacheHierarchy aggregatedColumn="13"/>
        </ext>
      </extLst>
    </cacheHierarchy>
    <cacheHierarchy uniqueName="[Measures].[Distinct Count of customer_id]" caption="Distinct Count of customer_id" measure="1" displayFolder="" measureGroup="Orders" count="0" hidden="1">
      <extLst>
        <ext xmlns:x15="http://schemas.microsoft.com/office/spreadsheetml/2010/11/main" uri="{B97F6D7D-B522-45F9-BDA1-12C45D357490}">
          <x15:cacheHierarchy aggregatedColumn="13"/>
        </ext>
      </extLst>
    </cacheHierarchy>
    <cacheHierarchy uniqueName="[Measures].[Sum of order_detail_id]" caption="Sum of order_detail_id" measure="1" displayFolder="" measureGroup="Order_details" count="0" hidden="1">
      <extLst>
        <ext xmlns:x15="http://schemas.microsoft.com/office/spreadsheetml/2010/11/main" uri="{B97F6D7D-B522-45F9-BDA1-12C45D357490}">
          <x15:cacheHierarchy aggregatedColumn="5"/>
        </ext>
      </extLst>
    </cacheHierarchy>
    <cacheHierarchy uniqueName="[Measures].[Sum of order_id 2]" caption="Sum of order_id 2" measure="1" displayFolder="" measureGroup="Order_details" count="0" hidden="1">
      <extLst>
        <ext xmlns:x15="http://schemas.microsoft.com/office/spreadsheetml/2010/11/main" uri="{B97F6D7D-B522-45F9-BDA1-12C45D357490}">
          <x15:cacheHierarchy aggregatedColumn="6"/>
        </ext>
      </extLst>
    </cacheHierarchy>
    <cacheHierarchy uniqueName="[Measures].[Sum of amount]" caption="Sum of amount" measure="1" displayFolder="" measureGroup="Payments" count="0" hidden="1">
      <extLst>
        <ext xmlns:x15="http://schemas.microsoft.com/office/spreadsheetml/2010/11/main" uri="{B97F6D7D-B522-45F9-BDA1-12C45D357490}">
          <x15:cacheHierarchy aggregatedColumn="23"/>
        </ext>
      </extLst>
    </cacheHierarchy>
    <cacheHierarchy uniqueName="[Measures].[Sum of price]" caption="Sum of price" measure="1" displayFolder="" measureGroup="Products" count="0" hidden="1">
      <extLst>
        <ext xmlns:x15="http://schemas.microsoft.com/office/spreadsheetml/2010/11/main" uri="{B97F6D7D-B522-45F9-BDA1-12C45D357490}">
          <x15:cacheHierarchy aggregatedColumn="28"/>
        </ext>
      </extLst>
    </cacheHierarchy>
    <cacheHierarchy uniqueName="[Measures].[Distinct Count of customer_id 2]" caption="Distinct Count of customer_id 2" measure="1" displayFolder="" measureGroup="Customers" count="0" hidden="1">
      <extLst>
        <ext xmlns:x15="http://schemas.microsoft.com/office/spreadsheetml/2010/11/main" uri="{B97F6D7D-B522-45F9-BDA1-12C45D357490}">
          <x15:cacheHierarchy aggregatedColumn="0"/>
        </ext>
      </extLst>
    </cacheHierarchy>
  </cacheHierarchies>
  <kpis count="0"/>
  <dimensions count="6">
    <dimension name="Customers" uniqueName="[Customers]" caption="Customers"/>
    <dimension measure="1" name="Measures" uniqueName="[Measures]" caption="Measures"/>
    <dimension name="Order_details" uniqueName="[Order_details]" caption="Order_details"/>
    <dimension name="Orders" uniqueName="[Orders]" caption="Orders"/>
    <dimension name="Payments" uniqueName="[Payments]" caption="Payments"/>
    <dimension name="Products" uniqueName="[Products]" caption="Products"/>
  </dimensions>
  <measureGroups count="5">
    <measureGroup name="Customers" caption="Customers"/>
    <measureGroup name="Order_details" caption="Order_details"/>
    <measureGroup name="Orders" caption="Orders"/>
    <measureGroup name="Payments" caption="Payments"/>
    <measureGroup name="Products" caption="Products"/>
  </measureGroups>
  <maps count="11">
    <map measureGroup="0" dimension="0"/>
    <map measureGroup="1" dimension="0"/>
    <map measureGroup="1" dimension="2"/>
    <map measureGroup="1" dimension="3"/>
    <map measureGroup="1" dimension="4"/>
    <map measureGroup="1" dimension="5"/>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dhi Jamgade" refreshedDate="46266.54274837963" backgroundQuery="1" createdVersion="8" refreshedVersion="8" minRefreshableVersion="3" recordCount="0" supportSubquery="1" supportAdvancedDrill="1" xr:uid="{4CADB9BC-2564-4F2D-A313-1865C334653F}">
  <cacheSource type="external" connectionId="6"/>
  <cacheFields count="1">
    <cacheField name="[Measures].[Distinct Count of customer_id 2]" caption="Distinct Count of customer_id 2" numFmtId="0" hierarchy="48" level="32767"/>
  </cacheFields>
  <cacheHierarchies count="49">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Order_details].[order_detail_id]" caption="order_detail_id" attribute="1" defaultMemberUniqueName="[Order_details].[order_detail_id].[All]" allUniqueName="[Order_details].[order_detail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product_id]" caption="product_id" attribute="1" defaultMemberUniqueName="[Order_details].[product_id].[All]" allUniqueName="[Order_details].[product_id].[All]" dimensionUniqueName="[Order_details]" displayFolder="" count="0" memberValueDatatype="20"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Revenue]" caption="Revenue" attribute="1" defaultMemberUniqueName="[Order_details].[Revenue].[All]" allUniqueName="[Order_details].[Revenue].[All]" dimensionUniqueName="[Order_details]" displayFolder="" count="0" memberValueDatatype="20" unbalanced="0"/>
    <cacheHierarchy uniqueName="[Order_details].[Category]" caption="Category" attribute="1" defaultMemberUniqueName="[Order_details].[Category].[All]" allUniqueName="[Order_details].[Category].[All]" dimensionUniqueName="[Order_details]" displayFolder="" count="0" memberValueDatatype="130" unbalanced="0"/>
    <cacheHierarchy uniqueName="[Order_details].[Product Name]" caption="Product Name" attribute="1" defaultMemberUniqueName="[Order_details].[Product Name].[All]" allUniqueName="[Order_details].[Product Name].[All]" dimensionUniqueName="[Order_detail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status]" caption="order_status" attribute="1" defaultMemberUniqueName="[Orders].[order_status].[All]" allUniqueName="[Orders].[order_status].[All]" dimensionUniqueName="[Orders]" displayFolder="" count="2" memberValueDatatype="130" unbalanced="0"/>
    <cacheHierarchy uniqueName="[Orders].[City]" caption="City" attribute="1" defaultMemberUniqueName="[Orders].[City].[All]" allUniqueName="[Orders].[City].[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Orders].[order_date (Year)]" caption="order_date (Year)" attribute="1" defaultMemberUniqueName="[Orders].[order_date (Year)].[All]" allUniqueName="[Orders].[order_date (Year)].[All]" dimensionUniqueName="[Orders]" displayFolder="" count="0" memberValueDatatype="130" unbalanced="0"/>
    <cacheHierarchy uniqueName="[Payments].[payment_id]" caption="payment_id" attribute="1" defaultMemberUniqueName="[Payments].[payment_id].[All]" allUniqueName="[Payments].[payment_id].[All]" dimensionUniqueName="[Payments]" displayFolder="" count="0" memberValueDatatype="20" unbalanced="0"/>
    <cacheHierarchy uniqueName="[Payments].[order_id]" caption="order_id" attribute="1" defaultMemberUniqueName="[Payments].[order_id].[All]" allUniqueName="[Payments].[order_id].[All]" dimensionUniqueName="[Payments]" displayFolder="" count="0" memberValueDatatype="20" unbalanced="0"/>
    <cacheHierarchy uniqueName="[Payments].[payment_date]" caption="payment_date" attribute="1" time="1" defaultMemberUniqueName="[Payments].[payment_date].[All]" allUniqueName="[Payments].[payment_date].[All]" dimensionUniqueName="[Payments]" displayFolder="" count="0" memberValueDatatype="7" unbalanced="0"/>
    <cacheHierarchy uniqueName="[Payments].[payment_method]" caption="payment_method" attribute="1" defaultMemberUniqueName="[Payments].[payment_method].[All]" allUniqueName="[Payments].[payment_method].[All]" dimensionUniqueName="[Payments]" displayFolder="" count="2" memberValueDatatype="130" unbalanced="0"/>
    <cacheHierarchy uniqueName="[Payments].[amount]" caption="amount" attribute="1" defaultMemberUniqueName="[Payments].[amount].[All]" allUniqueName="[Payments].[amount].[All]" dimensionUniqueName="[Payments]" displayFolder="" count="0" memberValueDatatype="20" unbalanced="0"/>
    <cacheHierarchy uniqueName="[Payments].[payment_status]" caption="payment_status" attribute="1" defaultMemberUniqueName="[Payments].[payment_status].[All]" allUniqueName="[Payments].[payment_status].[All]" dimensionUniqueName="[Payment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caption="price" attribute="1" defaultMemberUniqueName="[Products].[price].[All]" allUniqueName="[Products].[price].[All]" dimensionUniqueName="[Products]" displayFolder="" count="0" memberValueDatatype="2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Order_details]" caption="__XL_Count Order_details" measure="1" displayFolder="" measureGroup="Order_detail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_details" count="0" hidden="1">
      <extLst>
        <ext xmlns:x15="http://schemas.microsoft.com/office/spreadsheetml/2010/11/main" uri="{B97F6D7D-B522-45F9-BDA1-12C45D357490}">
          <x15:cacheHierarchy aggregatedColumn="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_details" count="0" hidden="1">
      <extLst>
        <ext xmlns:x15="http://schemas.microsoft.com/office/spreadsheetml/2010/11/main" uri="{B97F6D7D-B522-45F9-BDA1-12C45D357490}">
          <x15:cacheHierarchy aggregatedColumn="8"/>
        </ext>
      </extLst>
    </cacheHierarchy>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customer_id 2]" caption="Sum of customer_id 2" measure="1" displayFolder="" measureGroup="Orders" count="0" hidden="1">
      <extLst>
        <ext xmlns:x15="http://schemas.microsoft.com/office/spreadsheetml/2010/11/main" uri="{B97F6D7D-B522-45F9-BDA1-12C45D357490}">
          <x15:cacheHierarchy aggregatedColumn="13"/>
        </ext>
      </extLst>
    </cacheHierarchy>
    <cacheHierarchy uniqueName="[Measures].[Distinct Count of customer_id]" caption="Distinct Count of customer_id" measure="1" displayFolder="" measureGroup="Orders" count="0" hidden="1">
      <extLst>
        <ext xmlns:x15="http://schemas.microsoft.com/office/spreadsheetml/2010/11/main" uri="{B97F6D7D-B522-45F9-BDA1-12C45D357490}">
          <x15:cacheHierarchy aggregatedColumn="13"/>
        </ext>
      </extLst>
    </cacheHierarchy>
    <cacheHierarchy uniqueName="[Measures].[Sum of order_detail_id]" caption="Sum of order_detail_id" measure="1" displayFolder="" measureGroup="Order_details" count="0" hidden="1">
      <extLst>
        <ext xmlns:x15="http://schemas.microsoft.com/office/spreadsheetml/2010/11/main" uri="{B97F6D7D-B522-45F9-BDA1-12C45D357490}">
          <x15:cacheHierarchy aggregatedColumn="5"/>
        </ext>
      </extLst>
    </cacheHierarchy>
    <cacheHierarchy uniqueName="[Measures].[Sum of order_id 2]" caption="Sum of order_id 2" measure="1" displayFolder="" measureGroup="Order_details" count="0" hidden="1">
      <extLst>
        <ext xmlns:x15="http://schemas.microsoft.com/office/spreadsheetml/2010/11/main" uri="{B97F6D7D-B522-45F9-BDA1-12C45D357490}">
          <x15:cacheHierarchy aggregatedColumn="6"/>
        </ext>
      </extLst>
    </cacheHierarchy>
    <cacheHierarchy uniqueName="[Measures].[Sum of amount]" caption="Sum of amount" measure="1" displayFolder="" measureGroup="Payments" count="0" hidden="1">
      <extLst>
        <ext xmlns:x15="http://schemas.microsoft.com/office/spreadsheetml/2010/11/main" uri="{B97F6D7D-B522-45F9-BDA1-12C45D357490}">
          <x15:cacheHierarchy aggregatedColumn="23"/>
        </ext>
      </extLst>
    </cacheHierarchy>
    <cacheHierarchy uniqueName="[Measures].[Sum of price]" caption="Sum of price" measure="1" displayFolder="" measureGroup="Products" count="0" hidden="1">
      <extLst>
        <ext xmlns:x15="http://schemas.microsoft.com/office/spreadsheetml/2010/11/main" uri="{B97F6D7D-B522-45F9-BDA1-12C45D357490}">
          <x15:cacheHierarchy aggregatedColumn="28"/>
        </ext>
      </extLst>
    </cacheHierarchy>
    <cacheHierarchy uniqueName="[Measures].[Distinct Count of customer_id 2]" caption="Distinct Count of customer_id 2" measure="1" displayFolder="" measureGroup="Customers" count="0" oneField="1" hidden="1">
      <fieldsUsage count="1">
        <fieldUsage x="0"/>
      </fieldsUsage>
      <extLst>
        <ext xmlns:x15="http://schemas.microsoft.com/office/spreadsheetml/2010/11/main" uri="{B97F6D7D-B522-45F9-BDA1-12C45D357490}">
          <x15:cacheHierarchy aggregatedColumn="0"/>
        </ext>
      </extLst>
    </cacheHierarchy>
  </cacheHierarchies>
  <kpis count="0"/>
  <dimensions count="6">
    <dimension name="Customers" uniqueName="[Customers]" caption="Customers"/>
    <dimension measure="1" name="Measures" uniqueName="[Measures]" caption="Measures"/>
    <dimension name="Order_details" uniqueName="[Order_details]" caption="Order_details"/>
    <dimension name="Orders" uniqueName="[Orders]" caption="Orders"/>
    <dimension name="Payments" uniqueName="[Payments]" caption="Payments"/>
    <dimension name="Products" uniqueName="[Products]" caption="Products"/>
  </dimensions>
  <measureGroups count="5">
    <measureGroup name="Customers" caption="Customers"/>
    <measureGroup name="Order_details" caption="Order_details"/>
    <measureGroup name="Orders" caption="Orders"/>
    <measureGroup name="Payments" caption="Payments"/>
    <measureGroup name="Products" caption="Products"/>
  </measureGroups>
  <maps count="11">
    <map measureGroup="0" dimension="0"/>
    <map measureGroup="1" dimension="0"/>
    <map measureGroup="1" dimension="2"/>
    <map measureGroup="1" dimension="3"/>
    <map measureGroup="1" dimension="4"/>
    <map measureGroup="1" dimension="5"/>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dhi Jamgade" refreshedDate="46266.507365393518" backgroundQuery="1" createdVersion="3" refreshedVersion="8" minRefreshableVersion="3" recordCount="0" supportSubquery="1" supportAdvancedDrill="1" xr:uid="{9652425F-591B-4277-9F32-4BC421AAF048}">
  <cacheSource type="external" connectionId="6">
    <extLst>
      <ext xmlns:x14="http://schemas.microsoft.com/office/spreadsheetml/2009/9/main" uri="{F057638F-6D5F-4e77-A914-E7F072B9BCA8}">
        <x14:sourceConnection name="ThisWorkbookDataModel"/>
      </ext>
    </extLst>
  </cacheSource>
  <cacheFields count="0"/>
  <cacheHierarchies count="49">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Order_details].[order_detail_id]" caption="order_detail_id" attribute="1" defaultMemberUniqueName="[Order_details].[order_detail_id].[All]" allUniqueName="[Order_details].[order_detail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product_id]" caption="product_id" attribute="1" defaultMemberUniqueName="[Order_details].[product_id].[All]" allUniqueName="[Order_details].[product_id].[All]" dimensionUniqueName="[Order_details]" displayFolder="" count="0" memberValueDatatype="20"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Revenue]" caption="Revenue" attribute="1" defaultMemberUniqueName="[Order_details].[Revenue].[All]" allUniqueName="[Order_details].[Revenue].[All]" dimensionUniqueName="[Order_details]" displayFolder="" count="0" memberValueDatatype="20" unbalanced="0"/>
    <cacheHierarchy uniqueName="[Order_details].[Category]" caption="Category" attribute="1" defaultMemberUniqueName="[Order_details].[Category].[All]" allUniqueName="[Order_details].[Category].[All]" dimensionUniqueName="[Order_details]" displayFolder="" count="0" memberValueDatatype="130" unbalanced="0"/>
    <cacheHierarchy uniqueName="[Order_details].[Product Name]" caption="Product Name" attribute="1" defaultMemberUniqueName="[Order_details].[Product Name].[All]" allUniqueName="[Order_details].[Product Name].[All]" dimensionUniqueName="[Order_detail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status]" caption="order_status" attribute="1" defaultMemberUniqueName="[Orders].[order_status].[All]" allUniqueName="[Orders].[order_status].[All]" dimensionUniqueName="[Orders]" displayFolder="" count="2" memberValueDatatype="130" unbalanced="0"/>
    <cacheHierarchy uniqueName="[Orders].[City]" caption="City" attribute="1" defaultMemberUniqueName="[Orders].[City].[All]" allUniqueName="[Orders].[City].[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Orders].[order_date (Year)]" caption="order_date (Year)" attribute="1" defaultMemberUniqueName="[Orders].[order_date (Year)].[All]" allUniqueName="[Orders].[order_date (Year)].[All]" dimensionUniqueName="[Orders]" displayFolder="" count="2" memberValueDatatype="130" unbalanced="0"/>
    <cacheHierarchy uniqueName="[Payments].[payment_id]" caption="payment_id" attribute="1" defaultMemberUniqueName="[Payments].[payment_id].[All]" allUniqueName="[Payments].[payment_id].[All]" dimensionUniqueName="[Payments]" displayFolder="" count="0" memberValueDatatype="20" unbalanced="0"/>
    <cacheHierarchy uniqueName="[Payments].[order_id]" caption="order_id" attribute="1" defaultMemberUniqueName="[Payments].[order_id].[All]" allUniqueName="[Payments].[order_id].[All]" dimensionUniqueName="[Payments]" displayFolder="" count="0" memberValueDatatype="20" unbalanced="0"/>
    <cacheHierarchy uniqueName="[Payments].[payment_date]" caption="payment_date" attribute="1" time="1" defaultMemberUniqueName="[Payments].[payment_date].[All]" allUniqueName="[Payments].[payment_date].[All]" dimensionUniqueName="[Payments]" displayFolder="" count="0" memberValueDatatype="7" unbalanced="0"/>
    <cacheHierarchy uniqueName="[Payments].[payment_method]" caption="payment_method" attribute="1" defaultMemberUniqueName="[Payments].[payment_method].[All]" allUniqueName="[Payments].[payment_method].[All]" dimensionUniqueName="[Payments]" displayFolder="" count="2" memberValueDatatype="130" unbalanced="0"/>
    <cacheHierarchy uniqueName="[Payments].[amount]" caption="amount" attribute="1" defaultMemberUniqueName="[Payments].[amount].[All]" allUniqueName="[Payments].[amount].[All]" dimensionUniqueName="[Payments]" displayFolder="" count="0" memberValueDatatype="20" unbalanced="0"/>
    <cacheHierarchy uniqueName="[Payments].[payment_status]" caption="payment_status" attribute="1" defaultMemberUniqueName="[Payments].[payment_status].[All]" allUniqueName="[Payments].[payment_status].[All]" dimensionUniqueName="[Payment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caption="price" attribute="1" defaultMemberUniqueName="[Products].[price].[All]" allUniqueName="[Products].[price].[All]" dimensionUniqueName="[Products]" displayFolder="" count="0" memberValueDatatype="2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Order_details]" caption="__XL_Count Order_details" measure="1" displayFolder="" measureGroup="Order_detail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_details" count="0" hidden="1">
      <extLst>
        <ext xmlns:x15="http://schemas.microsoft.com/office/spreadsheetml/2010/11/main" uri="{B97F6D7D-B522-45F9-BDA1-12C45D357490}">
          <x15:cacheHierarchy aggregatedColumn="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_details" count="0" hidden="1">
      <extLst>
        <ext xmlns:x15="http://schemas.microsoft.com/office/spreadsheetml/2010/11/main" uri="{B97F6D7D-B522-45F9-BDA1-12C45D357490}">
          <x15:cacheHierarchy aggregatedColumn="8"/>
        </ext>
      </extLst>
    </cacheHierarchy>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customer_id 2]" caption="Sum of customer_id 2" measure="1" displayFolder="" measureGroup="Orders" count="0" hidden="1">
      <extLst>
        <ext xmlns:x15="http://schemas.microsoft.com/office/spreadsheetml/2010/11/main" uri="{B97F6D7D-B522-45F9-BDA1-12C45D357490}">
          <x15:cacheHierarchy aggregatedColumn="13"/>
        </ext>
      </extLst>
    </cacheHierarchy>
    <cacheHierarchy uniqueName="[Measures].[Distinct Count of customer_id]" caption="Distinct Count of customer_id" measure="1" displayFolder="" measureGroup="Orders" count="0" hidden="1">
      <extLst>
        <ext xmlns:x15="http://schemas.microsoft.com/office/spreadsheetml/2010/11/main" uri="{B97F6D7D-B522-45F9-BDA1-12C45D357490}">
          <x15:cacheHierarchy aggregatedColumn="13"/>
        </ext>
      </extLst>
    </cacheHierarchy>
    <cacheHierarchy uniqueName="[Measures].[Sum of order_detail_id]" caption="Sum of order_detail_id" measure="1" displayFolder="" measureGroup="Order_details" count="0" hidden="1">
      <extLst>
        <ext xmlns:x15="http://schemas.microsoft.com/office/spreadsheetml/2010/11/main" uri="{B97F6D7D-B522-45F9-BDA1-12C45D357490}">
          <x15:cacheHierarchy aggregatedColumn="5"/>
        </ext>
      </extLst>
    </cacheHierarchy>
    <cacheHierarchy uniqueName="[Measures].[Sum of order_id 2]" caption="Sum of order_id 2" measure="1" displayFolder="" measureGroup="Order_details" count="0" hidden="1">
      <extLst>
        <ext xmlns:x15="http://schemas.microsoft.com/office/spreadsheetml/2010/11/main" uri="{B97F6D7D-B522-45F9-BDA1-12C45D357490}">
          <x15:cacheHierarchy aggregatedColumn="6"/>
        </ext>
      </extLst>
    </cacheHierarchy>
    <cacheHierarchy uniqueName="[Measures].[Sum of amount]" caption="Sum of amount" measure="1" displayFolder="" measureGroup="Payments" count="0" hidden="1">
      <extLst>
        <ext xmlns:x15="http://schemas.microsoft.com/office/spreadsheetml/2010/11/main" uri="{B97F6D7D-B522-45F9-BDA1-12C45D357490}">
          <x15:cacheHierarchy aggregatedColumn="23"/>
        </ext>
      </extLst>
    </cacheHierarchy>
    <cacheHierarchy uniqueName="[Measures].[Sum of price]" caption="Sum of price" measure="1" displayFolder="" measureGroup="Products" count="0" hidden="1">
      <extLst>
        <ext xmlns:x15="http://schemas.microsoft.com/office/spreadsheetml/2010/11/main" uri="{B97F6D7D-B522-45F9-BDA1-12C45D357490}">
          <x15:cacheHierarchy aggregatedColumn="28"/>
        </ext>
      </extLst>
    </cacheHierarchy>
    <cacheHierarchy uniqueName="[Measures].[Distinct Count of customer_id 2]" caption="Distinct Count of customer_id 2" measure="1" displayFolder="" measureGroup="Customers"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20458037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369CE2-8960-4B65-97F5-A8B3619A4618}" name="PivotTable19" cacheId="4" applyNumberFormats="0" applyBorderFormats="0" applyFontFormats="0" applyPatternFormats="0" applyAlignmentFormats="0" applyWidthHeightFormats="1" dataCaption="Values" tag="0ecda4d1-a4ec-4997-80d5-7df990e1052e" updatedVersion="8" minRefreshableVersion="3" useAutoFormatting="1" subtotalHiddenItems="1" itemPrintTitles="1" createdVersion="8" indent="0" compact="0" compactData="0" multipleFieldFilters="0" chartFormat="13">
  <location ref="A5:C11" firstHeaderRow="1" firstDataRow="1" firstDataCol="2"/>
  <pivotFields count="3">
    <pivotField axis="axisRow" compact="0" allDrilled="1" outline="0" subtotalTop="0" showAll="0" dataSourceSort="1" defaultSubtotal="0" defaultAttributeDrillState="1">
      <items count="5">
        <item x="0"/>
        <item x="1"/>
        <item x="2"/>
        <item x="3"/>
        <item x="4"/>
      </items>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1">
        <item x="0"/>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2">
    <field x="1"/>
    <field x="0"/>
  </rowFields>
  <rowItems count="6">
    <i>
      <x/>
      <x/>
    </i>
    <i r="1">
      <x v="1"/>
    </i>
    <i r="1">
      <x v="2"/>
    </i>
    <i r="1">
      <x v="3"/>
    </i>
    <i r="1">
      <x v="4"/>
    </i>
    <i t="grand">
      <x/>
    </i>
  </rowItems>
  <colItems count="1">
    <i/>
  </colItems>
  <dataFields count="1">
    <dataField name="Count of order_id" fld="2" subtotal="count" baseField="0" baseItem="0"/>
  </dataFields>
  <chartFormats count="1">
    <chartFormat chart="11" format="4"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8"/>
    <rowHierarchyUsage hierarchyUsage="17"/>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Orders]"/>
        <x15:activeTabTopLevelEntity name="[Pay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DCC3BA-F70F-4DB5-9218-A3B28D9427ED}" name="PivotTable18" cacheId="5" applyNumberFormats="0" applyBorderFormats="0" applyFontFormats="0" applyPatternFormats="0" applyAlignmentFormats="0" applyWidthHeightFormats="1" dataCaption="Values" tag="0d9e0484-e604-4bef-86d5-3e9f60961719" updatedVersion="8" minRefreshableVersion="3" useAutoFormatting="1" subtotalHiddenItems="1" itemPrintTitles="1" createdVersion="8" indent="0" outline="1" outlineData="1" multipleFieldFilters="0">
  <location ref="D1:D2" firstHeaderRow="1" firstDataRow="1" firstDataCol="0"/>
  <pivotFields count="1">
    <pivotField dataField="1" subtotalTop="0" showAll="0" defaultSubtotal="0"/>
  </pivotFields>
  <rowItems count="1">
    <i/>
  </rowItems>
  <colItems count="1">
    <i/>
  </colItems>
  <dataFields count="1">
    <dataField name="Sum of quantity" fld="0"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FF8D7E-67DB-4C74-B841-9ECFD96C64B3}" name="PivotTable24" cacheId="0" applyNumberFormats="0" applyBorderFormats="0" applyFontFormats="0" applyPatternFormats="0" applyAlignmentFormats="0" applyWidthHeightFormats="1" dataCaption="Values" tag="36e941c0-6bb2-4f8f-b735-c5844cc70b6e" updatedVersion="8" minRefreshableVersion="3" useAutoFormatting="1" subtotalHiddenItems="1" itemPrintTitles="1" createdVersion="8" indent="0" outline="1" outlineData="1" multipleFieldFilters="0" chartFormat="9">
  <location ref="F47:G52"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amount" fld="1" baseField="0" baseItem="0"/>
  </dataFields>
  <chartFormats count="5">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0" count="1" selected="0">
            <x v="0"/>
          </reference>
        </references>
      </pivotArea>
    </chartFormat>
    <chartFormat chart="6" format="18">
      <pivotArea type="data" outline="0" fieldPosition="0">
        <references count="2">
          <reference field="4294967294" count="1" selected="0">
            <x v="0"/>
          </reference>
          <reference field="0" count="1" selected="0">
            <x v="1"/>
          </reference>
        </references>
      </pivotArea>
    </chartFormat>
    <chartFormat chart="6" format="19">
      <pivotArea type="data" outline="0" fieldPosition="0">
        <references count="2">
          <reference field="4294967294" count="1" selected="0">
            <x v="0"/>
          </reference>
          <reference field="0" count="1" selected="0">
            <x v="2"/>
          </reference>
        </references>
      </pivotArea>
    </chartFormat>
    <chartFormat chart="6" format="20">
      <pivotArea type="data" outline="0" fieldPosition="0">
        <references count="2">
          <reference field="4294967294" count="1" selected="0">
            <x v="0"/>
          </reference>
          <reference field="0" count="1" selected="0">
            <x v="3"/>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ymen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25EEA95-EF30-4928-866B-AA1F1D9D0EE2}" name="PivotTable22" cacheId="1" applyNumberFormats="0" applyBorderFormats="0" applyFontFormats="0" applyPatternFormats="0" applyAlignmentFormats="0" applyWidthHeightFormats="1" dataCaption="Values" tag="4cdf3215-c8f2-4d66-9eec-b95925c855fa" updatedVersion="8" minRefreshableVersion="3" useAutoFormatting="1" subtotalHiddenItems="1" itemPrintTitles="1" createdVersion="8" indent="0" outline="1" outlineData="1" multipleFieldFilters="0" chartFormat="6">
  <location ref="F28:G38" firstHeaderRow="1" firstDataRow="1" firstDataCol="1"/>
  <pivotFields count="2">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s>
  <rowFields count="1">
    <field x="0"/>
  </rowFields>
  <rowItems count="10">
    <i>
      <x/>
    </i>
    <i>
      <x v="1"/>
    </i>
    <i>
      <x v="2"/>
    </i>
    <i>
      <x v="3"/>
    </i>
    <i>
      <x v="4"/>
    </i>
    <i>
      <x v="5"/>
    </i>
    <i>
      <x v="6"/>
    </i>
    <i>
      <x v="7"/>
    </i>
    <i>
      <x v="8"/>
    </i>
    <i t="grand">
      <x/>
    </i>
  </rowItems>
  <colItems count="1">
    <i/>
  </colItems>
  <dataFields count="1">
    <dataField name="Count of order_id" fld="1" subtotal="count" baseField="0" baseItem="0"/>
  </dataFields>
  <chartFormats count="1">
    <chartFormat chart="5" format="4"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ay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954F672-3E21-4435-A365-FB4AF3F996F2}" name="PivotTable17" cacheId="6" applyNumberFormats="0" applyBorderFormats="0" applyFontFormats="0" applyPatternFormats="0" applyAlignmentFormats="0" applyWidthHeightFormats="1" dataCaption="Values" tag="4c5ba9b9-3982-4370-91ad-4c7f8d2ed4b3" updatedVersion="8" minRefreshableVersion="3" useAutoFormatting="1" subtotalHiddenItems="1" itemPrintTitles="1" createdVersion="8" indent="0" outline="1" outlineData="1" multipleFieldFilters="0">
  <location ref="C1:C2" firstHeaderRow="1" firstDataRow="1" firstDataCol="0"/>
  <pivotFields count="1">
    <pivotField dataField="1" subtotalTop="0" showAll="0" defaultSubtotal="0"/>
  </pivotFields>
  <rowItems count="1">
    <i/>
  </rowItems>
  <colItems count="1">
    <i/>
  </colItems>
  <dataFields count="1">
    <dataField name="Count of order_id" fld="0" subtotal="count"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755EE4C-8F52-493B-B1BD-5B8175570C22}" name="PivotTable21" cacheId="2" applyNumberFormats="0" applyBorderFormats="0" applyFontFormats="0" applyPatternFormats="0" applyAlignmentFormats="0" applyWidthHeightFormats="1" dataCaption="Values" tag="9cef6513-a68b-457f-a2df-3ee6931596b9" updatedVersion="8" minRefreshableVersion="3" useAutoFormatting="1" subtotalHiddenItems="1" itemPrintTitles="1" createdVersion="8" indent="0" outline="1" outlineData="1" multipleFieldFilters="0" chartFormat="8">
  <location ref="G4:H10" firstHeaderRow="1" firstDataRow="1" firstDataCol="1"/>
  <pivotFields count="2">
    <pivotField axis="axisRow" allDrilled="1" subtotalTop="0" showAll="0" measureFilter="1"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Revenue" fld="1" baseField="0" baseItem="0"/>
  </dataFields>
  <chartFormats count="1">
    <chartFormat chart="5" format="4"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6">
      <autoFilter ref="A1">
        <filterColumn colId="0">
          <top10 val="5" filterVal="5"/>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_details]"/>
        <x15:activeTabTopLevelEntity name="[Orders]"/>
        <x15:activeTabTopLevelEntity name="[Pay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67C166F-B905-4402-8299-58A849F6D0BB}" name="PivotTable16" cacheId="7" applyNumberFormats="0" applyBorderFormats="0" applyFontFormats="0" applyPatternFormats="0" applyAlignmentFormats="0" applyWidthHeightFormats="1" dataCaption="Values" tag="52ffecbd-3b6f-42c7-a3c3-31099be0a904" updatedVersion="8" minRefreshableVersion="3" useAutoFormatting="1" subtotalHiddenItems="1" itemPrintTitles="1" createdVersion="8" indent="0" outline="1" outlineData="1" multipleFieldFilters="0">
  <location ref="B1:B2" firstHeaderRow="1" firstDataRow="1" firstDataCol="0"/>
  <pivotFields count="1">
    <pivotField dataField="1" subtotalTop="0" showAll="0" defaultSubtotal="0"/>
  </pivotFields>
  <rowItems count="1">
    <i/>
  </rowItems>
  <colItems count="1">
    <i/>
  </colItems>
  <dataFields count="1">
    <dataField name="Sum of Revenue" fld="0"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1979E96-D694-468B-A89B-1C97AC435DC9}" name="PivotTable15" cacheId="8" applyNumberFormats="0" applyBorderFormats="0" applyFontFormats="0" applyPatternFormats="0" applyAlignmentFormats="0" applyWidthHeightFormats="1" dataCaption="Values" tag="e29d05ca-e73f-46b9-8de1-1fc8c4869591" updatedVersion="8" minRefreshableVersion="3" useAutoFormatting="1" subtotalHiddenItems="1" itemPrintTitles="1" createdVersion="8" indent="0" outline="1" outlineData="1" multipleFieldFilters="0">
  <location ref="A1:A2" firstHeaderRow="1" firstDataRow="1" firstDataCol="0"/>
  <pivotFields count="1">
    <pivotField dataField="1" subtotalTop="0" showAll="0" defaultSubtotal="0"/>
  </pivotFields>
  <rowItems count="1">
    <i/>
  </rowItems>
  <colItems count="1">
    <i/>
  </colItems>
  <dataFields count="1">
    <dataField name="Distinct Count of customer_id" fld="0" subtotal="count" baseField="0" baseItem="0">
      <extLst>
        <ext xmlns:x15="http://schemas.microsoft.com/office/spreadsheetml/2010/11/main" uri="{FABC7310-3BB5-11E1-824E-6D434824019B}">
          <x15:dataField isCountDistinct="1"/>
        </ext>
      </extLst>
    </dataField>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11A45D9-34E6-4111-99BA-FFB23CDA6DC5}" name="PivotTable20" cacheId="3" applyNumberFormats="0" applyBorderFormats="0" applyFontFormats="0" applyPatternFormats="0" applyAlignmentFormats="0" applyWidthHeightFormats="1" dataCaption="Values" tag="37ca67e0-4cb1-403f-9784-42c5b42c6650" updatedVersion="8" minRefreshableVersion="3" useAutoFormatting="1" subtotalHiddenItems="1" itemPrintTitles="1" createdVersion="8" indent="0" outline="1" outlineData="1" multipleFieldFilters="0" chartFormat="6">
  <location ref="A29:B35"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Revenue" fld="1" baseField="0" baseItem="0"/>
  </dataFields>
  <chartFormats count="1">
    <chartFormat chart="5" format="4"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_details]"/>
        <x15:activeTabTopLevelEntity name="[Orders]"/>
        <x15:activeTabTopLevelEntity name="[Paymen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D03E653-505D-4212-87C6-0418432923D8}" autoFormatId="16" applyNumberFormats="0" applyBorderFormats="0" applyFontFormats="0" applyPatternFormats="0" applyAlignmentFormats="0" applyWidthHeightFormats="0">
  <queryTableRefresh nextId="6">
    <queryTableFields count="5">
      <queryTableField id="1" name="customer_id" tableColumnId="1"/>
      <queryTableField id="2" name="customer_name" tableColumnId="2"/>
      <queryTableField id="3" name="city" tableColumnId="3"/>
      <queryTableField id="4" name="state" tableColumnId="4"/>
      <queryTableField id="5" name="signup_date"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5FC7530E-8723-4FDD-80E4-8BB7E489301E}" autoFormatId="16" applyNumberFormats="0" applyBorderFormats="0" applyFontFormats="0" applyPatternFormats="0" applyAlignmentFormats="0" applyWidthHeightFormats="0">
  <queryTableRefresh nextId="6" unboundColumnsRight="1">
    <queryTableFields count="5">
      <queryTableField id="1" name="order_id" tableColumnId="1"/>
      <queryTableField id="2" name="customer_id" tableColumnId="2"/>
      <queryTableField id="3" name="order_date" tableColumnId="3"/>
      <queryTableField id="4" name="order_status" tableColumnId="4"/>
      <queryTableField id="5" dataBound="0"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5" connectionId="2" xr16:uid="{702FA5FC-5621-4BAE-BADB-F37651272DC2}" autoFormatId="16" applyNumberFormats="0" applyBorderFormats="0" applyFontFormats="0" applyPatternFormats="0" applyAlignmentFormats="0" applyWidthHeightFormats="0">
  <queryTableRefresh nextId="8" unboundColumnsRight="3">
    <queryTableFields count="7">
      <queryTableField id="1" name="order_detail_id" tableColumnId="1"/>
      <queryTableField id="2" name="order_id" tableColumnId="2"/>
      <queryTableField id="3" name="product_id" tableColumnId="3"/>
      <queryTableField id="4" name="quantity" tableColumnId="4"/>
      <queryTableField id="5" dataBound="0" tableColumnId="5"/>
      <queryTableField id="6" dataBound="0" tableColumnId="6"/>
      <queryTableField id="7" dataBound="0" tableColumnId="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connectionId="4" xr16:uid="{D8AB3BB2-183C-4DF9-BBD7-1C111A0EC495}" autoFormatId="16" applyNumberFormats="0" applyBorderFormats="0" applyFontFormats="0" applyPatternFormats="0" applyAlignmentFormats="0" applyWidthHeightFormats="0">
  <queryTableRefresh nextId="7">
    <queryTableFields count="6">
      <queryTableField id="1" name="payment_id" tableColumnId="1"/>
      <queryTableField id="2" name="order_id" tableColumnId="2"/>
      <queryTableField id="3" name="payment_date" tableColumnId="3"/>
      <queryTableField id="4" name="payment_method" tableColumnId="4"/>
      <queryTableField id="5" name="amount" tableColumnId="5"/>
      <queryTableField id="6" name="payment_status" tableColumnId="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3" connectionId="5" xr16:uid="{5353B28B-C717-4D40-8BEC-E7971E5CEC45}" autoFormatId="16" applyNumberFormats="0" applyBorderFormats="0" applyFontFormats="0" applyPatternFormats="0" applyAlignmentFormats="0" applyWidthHeightFormats="0">
  <queryTableRefresh nextId="5">
    <queryTableFields count="4">
      <queryTableField id="1" name="product_id" tableColumnId="1"/>
      <queryTableField id="2" name="product_name" tableColumnId="2"/>
      <queryTableField id="3" name="category" tableColumnId="3"/>
      <queryTableField id="4" name="price"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9F855A5D-F017-4717-85CB-62EA054AA645}" sourceName="[Orders].[order_status]">
  <pivotTables>
    <pivotTable tabId="12" name="PivotTable19"/>
    <pivotTable tabId="12" name="PivotTable15"/>
    <pivotTable tabId="12" name="PivotTable16"/>
    <pivotTable tabId="12" name="PivotTable17"/>
    <pivotTable tabId="12" name="PivotTable18"/>
    <pivotTable tabId="12" name="PivotTable20"/>
    <pivotTable tabId="12" name="PivotTable21"/>
    <pivotTable tabId="12" name="PivotTable22"/>
    <pivotTable tabId="12" name="PivotTable24"/>
  </pivotTables>
  <data>
    <olap pivotCacheId="1204580376">
      <levels count="2">
        <level uniqueName="[Orders].[order_status].[(All)]" sourceCaption="(All)" count="0"/>
        <level uniqueName="[Orders].[order_status].[order_status]" sourceCaption="order_status" count="3">
          <ranges>
            <range startItem="0">
              <i n="[Orders].[order_status].&amp;[Cancelled]" c="Cancelled"/>
              <i n="[Orders].[order_status].&amp;[Delivered]" c="Delivered"/>
              <i n="[Orders].[order_status].&amp;[Pending]" c="Pending"/>
            </range>
          </ranges>
        </level>
      </levels>
      <selections count="1">
        <selection n="[Orders].[order_statu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9ECEBF79-2976-4881-9268-4D512DBFCDF4}" sourceName="[Payments].[payment_method]">
  <pivotTables>
    <pivotTable tabId="12" name="PivotTable24"/>
    <pivotTable tabId="12" name="PivotTable15"/>
    <pivotTable tabId="12" name="PivotTable16"/>
    <pivotTable tabId="12" name="PivotTable17"/>
    <pivotTable tabId="12" name="PivotTable19"/>
    <pivotTable tabId="12" name="PivotTable20"/>
    <pivotTable tabId="12" name="PivotTable21"/>
    <pivotTable tabId="12" name="PivotTable22"/>
  </pivotTables>
  <data>
    <olap pivotCacheId="1204580376">
      <levels count="2">
        <level uniqueName="[Payments].[payment_method].[(All)]" sourceCaption="(All)" count="0"/>
        <level uniqueName="[Payments].[payment_method].[payment_method]" sourceCaption="payment_method" count="4">
          <ranges>
            <range startItem="0">
              <i n="[Payments].[payment_method].&amp;[Cash]" c="Cash"/>
              <i n="[Payments].[payment_method].&amp;[Credit Card]" c="Credit Card"/>
              <i n="[Payments].[payment_method].&amp;[Debit Card]" c="Debit Card"/>
              <i n="[Payments].[payment_method].&amp;[UPI]" c="UPI"/>
            </range>
          </ranges>
        </level>
      </levels>
      <selections count="1">
        <selection n="[Payments].[payment_method].[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8582E52A-F188-4FF9-93E7-DEF72908C5A2}" sourceName="[Orders].[order_date (Month)]">
  <pivotTables>
    <pivotTable tabId="12" name="PivotTable19"/>
    <pivotTable tabId="12" name="PivotTable15"/>
    <pivotTable tabId="12" name="PivotTable16"/>
    <pivotTable tabId="12" name="PivotTable17"/>
    <pivotTable tabId="12" name="PivotTable18"/>
    <pivotTable tabId="12" name="PivotTable20"/>
    <pivotTable tabId="12" name="PivotTable21"/>
    <pivotTable tabId="12" name="PivotTable22"/>
    <pivotTable tabId="12" name="PivotTable24"/>
  </pivotTables>
  <data>
    <olap pivotCacheId="1204580376">
      <levels count="2">
        <level uniqueName="[Orders].[order_date (Month)].[(All)]" sourceCaption="(All)" count="0"/>
        <level uniqueName="[Orders].[order_date (Month)].[order_date (Month)]" sourceCaption="order_date (Month)" count="5">
          <ranges>
            <range startItem="0">
              <i n="[Orders].[order_date (Month)].&amp;[Jan]" c="Jan"/>
              <i n="[Orders].[order_date (Month)].&amp;[Feb]" c="Feb"/>
              <i n="[Orders].[order_date (Month)].&amp;[Mar]" c="Mar"/>
              <i n="[Orders].[order_date (Month)].&amp;[Apr]" c="Apr"/>
              <i n="[Orders].[order_date (Month)].&amp;[May]" c="May"/>
            </range>
          </ranges>
        </level>
      </levels>
      <selections count="1">
        <selection n="[Orders].[order_date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status" xr10:uid="{893F9282-85E9-473E-BC6C-09549E8B4EFD}" cache="Slicer_order_status" caption="order_status" level="1" rowHeight="247650"/>
  <slicer name="payment_method" xr10:uid="{80F85F17-65F9-4A15-AAB0-A5B3D3C3063A}" cache="Slicer_payment_method" caption="payment_method" level="1" rowHeight="247650"/>
  <slicer name="order_date (Month)" xr10:uid="{1D36EFFA-C4CC-4F41-8599-D1788558301A}" cache="Slicer_order_date__Month" caption="order_date (Month)"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2A918E8-2D4C-4EBD-8C42-E672A4A2F6FA}" name="Customers" displayName="Customers" ref="A1:E11" tableType="queryTable" totalsRowShown="0">
  <autoFilter ref="A1:E11" xr:uid="{82A918E8-2D4C-4EBD-8C42-E672A4A2F6FA}"/>
  <tableColumns count="5">
    <tableColumn id="1" xr3:uid="{14D8BBEC-6B57-4EFE-8884-AC139C0D9190}" uniqueName="1" name="customer_id" queryTableFieldId="1"/>
    <tableColumn id="2" xr3:uid="{003C8F12-C32B-4B9E-8BD1-5A2BFF60CD73}" uniqueName="2" name="customer_name" queryTableFieldId="2" dataDxfId="14"/>
    <tableColumn id="3" xr3:uid="{B689ECDB-6422-41A3-8A52-D07EE0F6D260}" uniqueName="3" name="city" queryTableFieldId="3" dataDxfId="13"/>
    <tableColumn id="4" xr3:uid="{669BA959-722F-46D7-A610-8B5BAC27E07F}" uniqueName="4" name="state" queryTableFieldId="4" dataDxfId="12"/>
    <tableColumn id="5" xr3:uid="{B1F07E61-DEA5-4ACC-A427-06FB0F9B3792}" uniqueName="5" name="signup_date" queryTableFieldId="5" dataDxfId="1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B67171A-84BF-414D-8A5D-5C3CF528BBEF}" name="Orders" displayName="Orders" ref="A1:E16" tableType="queryTable" totalsRowShown="0">
  <autoFilter ref="A1:E16" xr:uid="{8B67171A-84BF-414D-8A5D-5C3CF528BBEF}"/>
  <tableColumns count="5">
    <tableColumn id="1" xr3:uid="{B925516C-ECA1-44C4-90DB-A70CD2436968}" uniqueName="1" name="order_id" queryTableFieldId="1"/>
    <tableColumn id="2" xr3:uid="{154CDDAB-7A51-46F7-AED0-429A10C5138B}" uniqueName="2" name="customer_id" queryTableFieldId="2"/>
    <tableColumn id="3" xr3:uid="{ED67DB6A-7E4D-4173-8D68-A0551B429EE4}" uniqueName="3" name="order_date" queryTableFieldId="3" dataDxfId="10"/>
    <tableColumn id="4" xr3:uid="{C4518118-CF6F-44B5-91E2-1AAD9BDC4E23}" uniqueName="4" name="order_status" queryTableFieldId="4" dataDxfId="9"/>
    <tableColumn id="5" xr3:uid="{838E018A-56F5-4F9E-B547-56D3FBBA4D2B}" uniqueName="5" name="City" queryTableFieldId="5" dataDxfId="8">
      <calculatedColumnFormula>_xlfn.XLOOKUP(Orders[[#This Row],[customer_id]],'Customers'!A:A,'Customers'!C:C,"Not Found")</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B889A50-DD34-40D7-81BC-18FE6486B0ED}" name="Order_details" displayName="Order_details" ref="A1:G27" tableType="queryTable" totalsRowShown="0">
  <autoFilter ref="A1:G27" xr:uid="{1B889A50-DD34-40D7-81BC-18FE6486B0ED}"/>
  <sortState xmlns:xlrd2="http://schemas.microsoft.com/office/spreadsheetml/2017/richdata2" ref="A2:G27">
    <sortCondition ref="C1:C27"/>
  </sortState>
  <tableColumns count="7">
    <tableColumn id="1" xr3:uid="{012D4EEA-DE56-4D77-82AA-657EC0937C19}" uniqueName="1" name="order_detail_id" queryTableFieldId="1"/>
    <tableColumn id="2" xr3:uid="{A6D0322C-7186-43C1-8873-2F91336777D8}" uniqueName="2" name="order_id" queryTableFieldId="2"/>
    <tableColumn id="3" xr3:uid="{8D8BCB94-08BD-4424-AC02-F52203D87D92}" uniqueName="3" name="product_id" queryTableFieldId="3"/>
    <tableColumn id="4" xr3:uid="{03981726-0EE7-4670-AEF3-CC0E16237E29}" uniqueName="4" name="quantity" queryTableFieldId="4"/>
    <tableColumn id="5" xr3:uid="{4A170C78-2C2C-4985-ACDC-46313F395239}" uniqueName="5" name="Revenue" queryTableFieldId="5" dataDxfId="7">
      <calculatedColumnFormula>D2*_xlfn.XLOOKUP(C2,Products[product_id],Products[price])</calculatedColumnFormula>
    </tableColumn>
    <tableColumn id="6" xr3:uid="{E2313DC4-F2C3-4E4C-8B10-33A56FC0637B}" uniqueName="6" name="Category" queryTableFieldId="6" dataDxfId="6">
      <calculatedColumnFormula>_xlfn.XLOOKUP(Order_details[[#This Row],[product_id]],Products!A:A,Products!C:C)</calculatedColumnFormula>
    </tableColumn>
    <tableColumn id="7" xr3:uid="{F0A2FB96-D042-4371-AB26-3981B7D0EA41}" uniqueName="7" name="Product Name" queryTableFieldId="7" dataDxfId="5">
      <calculatedColumnFormula>_xlfn.XLOOKUP(Order_details[[#This Row],[product_id]],Products!A:A,Products!B:B)</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2B4FE69-CE6A-41AA-B4C2-3D5CDA257DA5}" name="Payments" displayName="Payments" ref="A1:F16" tableType="queryTable" totalsRowShown="0">
  <autoFilter ref="A1:F16" xr:uid="{E2B4FE69-CE6A-41AA-B4C2-3D5CDA257DA5}"/>
  <tableColumns count="6">
    <tableColumn id="1" xr3:uid="{18194B34-5636-421B-A000-5C691F35AFF2}" uniqueName="1" name="payment_id" queryTableFieldId="1"/>
    <tableColumn id="2" xr3:uid="{21EE54CA-695E-4617-8A89-861A35FF4FCF}" uniqueName="2" name="order_id" queryTableFieldId="2"/>
    <tableColumn id="3" xr3:uid="{F9824449-1927-4644-967E-09A254E2855F}" uniqueName="3" name="payment_date" queryTableFieldId="3" dataDxfId="4"/>
    <tableColumn id="4" xr3:uid="{73A4817F-AF6B-4479-BE7C-F43D07E144C5}" uniqueName="4" name="payment_method" queryTableFieldId="4" dataDxfId="3"/>
    <tableColumn id="5" xr3:uid="{5AA98ABC-CBD1-4AB4-B44A-E32DFB65486E}" uniqueName="5" name="amount" queryTableFieldId="5"/>
    <tableColumn id="6" xr3:uid="{B4DCA3BF-3FED-4B9C-AF1F-7BE95C55FBA4}" uniqueName="6" name="payment_status" queryTableFieldId="6" dataDxfId="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BAD48CB-C762-43E8-AAD3-C9675427A88D}" name="Products" displayName="Products" ref="A1:D11" tableType="queryTable" totalsRowShown="0">
  <autoFilter ref="A1:D11" xr:uid="{2BAD48CB-C762-43E8-AAD3-C9675427A88D}"/>
  <tableColumns count="4">
    <tableColumn id="1" xr3:uid="{28B411B3-FCC2-4269-9CF0-429ECC53D806}" uniqueName="1" name="product_id" queryTableFieldId="1"/>
    <tableColumn id="2" xr3:uid="{E9FAB59E-8AE3-49AF-A9C0-CE7175A2286F}" uniqueName="2" name="product_name" queryTableFieldId="2" dataDxfId="1"/>
    <tableColumn id="3" xr3:uid="{4D039746-FFA7-458E-BEF6-B84DCA1AC3E9}" uniqueName="3" name="category" queryTableFieldId="3" dataDxfId="0"/>
    <tableColumn id="4" xr3:uid="{DC9E1C57-49D1-4FEE-9B97-E24DDED8E134}" uniqueName="4" name="price" queryTableField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Marquee">
      <a:dk1>
        <a:srgbClr val="000000"/>
      </a:dk1>
      <a:lt1>
        <a:sysClr val="window" lastClr="FFFFFF"/>
      </a:lt1>
      <a:dk2>
        <a:srgbClr val="5E5E5E"/>
      </a:dk2>
      <a:lt2>
        <a:srgbClr val="DDDDDD"/>
      </a:lt2>
      <a:accent1>
        <a:srgbClr val="418AB3"/>
      </a:accent1>
      <a:accent2>
        <a:srgbClr val="A6B727"/>
      </a:accent2>
      <a:accent3>
        <a:srgbClr val="F69200"/>
      </a:accent3>
      <a:accent4>
        <a:srgbClr val="838383"/>
      </a:accent4>
      <a:accent5>
        <a:srgbClr val="FEC306"/>
      </a:accent5>
      <a:accent6>
        <a:srgbClr val="DF5327"/>
      </a:accent6>
      <a:hlink>
        <a:srgbClr val="F59E00"/>
      </a:hlink>
      <a:folHlink>
        <a:srgbClr val="B2B2B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4EC18-80DA-4D75-AAEA-959D6D1E132E}">
  <dimension ref="A1:E11"/>
  <sheetViews>
    <sheetView workbookViewId="0">
      <selection activeCell="B12" sqref="B12"/>
    </sheetView>
  </sheetViews>
  <sheetFormatPr defaultRowHeight="14.4" x14ac:dyDescent="0.3"/>
  <cols>
    <col min="1" max="1" width="13.5546875" bestFit="1" customWidth="1"/>
    <col min="2" max="2" width="16.6640625" bestFit="1" customWidth="1"/>
    <col min="3" max="3" width="10.6640625" bestFit="1" customWidth="1"/>
    <col min="4" max="4" width="11.21875" bestFit="1" customWidth="1"/>
    <col min="5" max="5" width="13.21875" bestFit="1" customWidth="1"/>
  </cols>
  <sheetData>
    <row r="1" spans="1:5" x14ac:dyDescent="0.3">
      <c r="A1" t="s">
        <v>0</v>
      </c>
      <c r="B1" t="s">
        <v>1</v>
      </c>
      <c r="C1" t="s">
        <v>2</v>
      </c>
      <c r="D1" t="s">
        <v>3</v>
      </c>
      <c r="E1" t="s">
        <v>4</v>
      </c>
    </row>
    <row r="2" spans="1:5" x14ac:dyDescent="0.3">
      <c r="A2">
        <v>1</v>
      </c>
      <c r="B2" t="s">
        <v>5</v>
      </c>
      <c r="C2" t="s">
        <v>6</v>
      </c>
      <c r="D2" t="s">
        <v>7</v>
      </c>
      <c r="E2" s="1">
        <v>44941</v>
      </c>
    </row>
    <row r="3" spans="1:5" x14ac:dyDescent="0.3">
      <c r="A3">
        <v>2</v>
      </c>
      <c r="B3" t="s">
        <v>8</v>
      </c>
      <c r="C3" t="s">
        <v>9</v>
      </c>
      <c r="D3" t="s">
        <v>7</v>
      </c>
      <c r="E3" s="1">
        <v>44977</v>
      </c>
    </row>
    <row r="4" spans="1:5" x14ac:dyDescent="0.3">
      <c r="A4">
        <v>3</v>
      </c>
      <c r="B4" t="s">
        <v>10</v>
      </c>
      <c r="C4" t="s">
        <v>11</v>
      </c>
      <c r="D4" t="s">
        <v>11</v>
      </c>
      <c r="E4" s="1">
        <v>44995</v>
      </c>
    </row>
    <row r="5" spans="1:5" x14ac:dyDescent="0.3">
      <c r="A5">
        <v>4</v>
      </c>
      <c r="B5" t="s">
        <v>12</v>
      </c>
      <c r="C5" t="s">
        <v>13</v>
      </c>
      <c r="D5" t="s">
        <v>7</v>
      </c>
      <c r="E5" s="1">
        <v>45021</v>
      </c>
    </row>
    <row r="6" spans="1:5" x14ac:dyDescent="0.3">
      <c r="A6">
        <v>5</v>
      </c>
      <c r="B6" t="s">
        <v>14</v>
      </c>
      <c r="C6" t="s">
        <v>15</v>
      </c>
      <c r="D6" t="s">
        <v>16</v>
      </c>
      <c r="E6" s="1">
        <v>45064</v>
      </c>
    </row>
    <row r="7" spans="1:5" x14ac:dyDescent="0.3">
      <c r="A7">
        <v>6</v>
      </c>
      <c r="B7" t="s">
        <v>17</v>
      </c>
      <c r="C7" t="s">
        <v>18</v>
      </c>
      <c r="D7" t="s">
        <v>19</v>
      </c>
      <c r="E7" s="1">
        <v>45089</v>
      </c>
    </row>
    <row r="8" spans="1:5" x14ac:dyDescent="0.3">
      <c r="A8">
        <v>7</v>
      </c>
      <c r="B8" t="s">
        <v>20</v>
      </c>
      <c r="C8" t="s">
        <v>6</v>
      </c>
      <c r="D8" t="s">
        <v>7</v>
      </c>
      <c r="E8" s="1">
        <v>45132</v>
      </c>
    </row>
    <row r="9" spans="1:5" x14ac:dyDescent="0.3">
      <c r="A9">
        <v>8</v>
      </c>
      <c r="B9" t="s">
        <v>21</v>
      </c>
      <c r="C9" t="s">
        <v>22</v>
      </c>
      <c r="D9" t="s">
        <v>23</v>
      </c>
      <c r="E9" s="1">
        <v>45152</v>
      </c>
    </row>
    <row r="10" spans="1:5" x14ac:dyDescent="0.3">
      <c r="A10">
        <v>9</v>
      </c>
      <c r="B10" t="s">
        <v>24</v>
      </c>
      <c r="C10" t="s">
        <v>25</v>
      </c>
      <c r="D10" t="s">
        <v>26</v>
      </c>
      <c r="E10" s="1">
        <v>45172</v>
      </c>
    </row>
    <row r="11" spans="1:5" x14ac:dyDescent="0.3">
      <c r="A11">
        <v>10</v>
      </c>
      <c r="B11" t="s">
        <v>27</v>
      </c>
      <c r="C11" t="s">
        <v>28</v>
      </c>
      <c r="D11" t="s">
        <v>29</v>
      </c>
      <c r="E11" s="1">
        <v>45220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6DB1D-1631-4F62-8DA4-BF4ACF8EC4BF}">
  <dimension ref="A1:E16"/>
  <sheetViews>
    <sheetView workbookViewId="0">
      <selection activeCell="B13" sqref="B13"/>
    </sheetView>
  </sheetViews>
  <sheetFormatPr defaultRowHeight="14.4" x14ac:dyDescent="0.3"/>
  <cols>
    <col min="1" max="1" width="10.109375" bestFit="1" customWidth="1"/>
    <col min="2" max="2" width="13.5546875" bestFit="1" customWidth="1"/>
    <col min="3" max="3" width="12.21875" bestFit="1" customWidth="1"/>
    <col min="4" max="4" width="13.5546875" bestFit="1" customWidth="1"/>
  </cols>
  <sheetData>
    <row r="1" spans="1:5" x14ac:dyDescent="0.3">
      <c r="A1" t="s">
        <v>30</v>
      </c>
      <c r="B1" t="s">
        <v>0</v>
      </c>
      <c r="C1" t="s">
        <v>31</v>
      </c>
      <c r="D1" t="s">
        <v>32</v>
      </c>
      <c r="E1" t="s">
        <v>82</v>
      </c>
    </row>
    <row r="2" spans="1:5" x14ac:dyDescent="0.3">
      <c r="A2">
        <v>1001</v>
      </c>
      <c r="B2">
        <v>1</v>
      </c>
      <c r="C2" s="1">
        <v>45296</v>
      </c>
      <c r="D2" t="s">
        <v>33</v>
      </c>
      <c r="E2" t="str">
        <f>_xlfn.XLOOKUP(Orders[[#This Row],[customer_id]],'Customers'!A:A,'Customers'!C:C,"Not Found")</f>
        <v>Mumbai</v>
      </c>
    </row>
    <row r="3" spans="1:5" x14ac:dyDescent="0.3">
      <c r="A3">
        <v>1002</v>
      </c>
      <c r="B3">
        <v>2</v>
      </c>
      <c r="C3" s="1">
        <v>45299</v>
      </c>
      <c r="D3" t="s">
        <v>33</v>
      </c>
      <c r="E3" t="str">
        <f>_xlfn.XLOOKUP(Orders[[#This Row],[customer_id]],'Customers'!A:A,'Customers'!C:C,"Not Found")</f>
        <v>Pune</v>
      </c>
    </row>
    <row r="4" spans="1:5" x14ac:dyDescent="0.3">
      <c r="A4">
        <v>1003</v>
      </c>
      <c r="B4">
        <v>3</v>
      </c>
      <c r="C4" s="1">
        <v>45303</v>
      </c>
      <c r="D4" t="s">
        <v>34</v>
      </c>
      <c r="E4" t="str">
        <f>_xlfn.XLOOKUP(Orders[[#This Row],[customer_id]],'Customers'!A:A,'Customers'!C:C,"Not Found")</f>
        <v>Delhi</v>
      </c>
    </row>
    <row r="5" spans="1:5" x14ac:dyDescent="0.3">
      <c r="A5">
        <v>1004</v>
      </c>
      <c r="B5">
        <v>4</v>
      </c>
      <c r="C5" s="1">
        <v>45324</v>
      </c>
      <c r="D5" t="s">
        <v>33</v>
      </c>
      <c r="E5" t="str">
        <f>_xlfn.XLOOKUP(Orders[[#This Row],[customer_id]],'Customers'!A:A,'Customers'!C:C,"Not Found")</f>
        <v>Nagpur</v>
      </c>
    </row>
    <row r="6" spans="1:5" x14ac:dyDescent="0.3">
      <c r="A6">
        <v>1005</v>
      </c>
      <c r="B6">
        <v>5</v>
      </c>
      <c r="C6" s="1">
        <v>45332</v>
      </c>
      <c r="D6" t="s">
        <v>33</v>
      </c>
      <c r="E6" t="str">
        <f>_xlfn.XLOOKUP(Orders[[#This Row],[customer_id]],'Customers'!A:A,'Customers'!C:C,"Not Found")</f>
        <v>Bangalore</v>
      </c>
    </row>
    <row r="7" spans="1:5" x14ac:dyDescent="0.3">
      <c r="A7">
        <v>1006</v>
      </c>
      <c r="B7">
        <v>1</v>
      </c>
      <c r="C7" s="1">
        <v>45337</v>
      </c>
      <c r="D7" t="s">
        <v>33</v>
      </c>
      <c r="E7" t="str">
        <f>_xlfn.XLOOKUP(Orders[[#This Row],[customer_id]],'Customers'!A:A,'Customers'!C:C,"Not Found")</f>
        <v>Mumbai</v>
      </c>
    </row>
    <row r="8" spans="1:5" x14ac:dyDescent="0.3">
      <c r="A8">
        <v>1007</v>
      </c>
      <c r="B8">
        <v>6</v>
      </c>
      <c r="C8" s="1">
        <v>45352</v>
      </c>
      <c r="D8" t="s">
        <v>35</v>
      </c>
      <c r="E8" t="str">
        <f>_xlfn.XLOOKUP(Orders[[#This Row],[customer_id]],'Customers'!A:A,'Customers'!C:C,"Not Found")</f>
        <v>Hyderabad</v>
      </c>
    </row>
    <row r="9" spans="1:5" x14ac:dyDescent="0.3">
      <c r="A9">
        <v>1008</v>
      </c>
      <c r="B9">
        <v>7</v>
      </c>
      <c r="C9" s="1">
        <v>45358</v>
      </c>
      <c r="D9" t="s">
        <v>33</v>
      </c>
      <c r="E9" t="str">
        <f>_xlfn.XLOOKUP(Orders[[#This Row],[customer_id]],'Customers'!A:A,'Customers'!C:C,"Not Found")</f>
        <v>Mumbai</v>
      </c>
    </row>
    <row r="10" spans="1:5" x14ac:dyDescent="0.3">
      <c r="A10">
        <v>1009</v>
      </c>
      <c r="B10">
        <v>8</v>
      </c>
      <c r="C10" s="1">
        <v>45366</v>
      </c>
      <c r="D10" t="s">
        <v>33</v>
      </c>
      <c r="E10" t="str">
        <f>_xlfn.XLOOKUP(Orders[[#This Row],[customer_id]],'Customers'!A:A,'Customers'!C:C,"Not Found")</f>
        <v>Chennai</v>
      </c>
    </row>
    <row r="11" spans="1:5" x14ac:dyDescent="0.3">
      <c r="A11">
        <v>1010</v>
      </c>
      <c r="B11">
        <v>9</v>
      </c>
      <c r="C11" s="1">
        <v>45371</v>
      </c>
      <c r="D11" t="s">
        <v>33</v>
      </c>
      <c r="E11" t="str">
        <f>_xlfn.XLOOKUP(Orders[[#This Row],[customer_id]],'Customers'!A:A,'Customers'!C:C,"Not Found")</f>
        <v>Kolkata</v>
      </c>
    </row>
    <row r="12" spans="1:5" x14ac:dyDescent="0.3">
      <c r="A12">
        <v>1011</v>
      </c>
      <c r="B12">
        <v>10</v>
      </c>
      <c r="C12" s="1">
        <v>45387</v>
      </c>
      <c r="D12" t="s">
        <v>33</v>
      </c>
      <c r="E12" t="str">
        <f>_xlfn.XLOOKUP(Orders[[#This Row],[customer_id]],'Customers'!A:A,'Customers'!C:C,"Not Found")</f>
        <v>Ahmedabad</v>
      </c>
    </row>
    <row r="13" spans="1:5" x14ac:dyDescent="0.3">
      <c r="A13">
        <v>1012</v>
      </c>
      <c r="B13">
        <v>3</v>
      </c>
      <c r="C13" s="1">
        <v>45392</v>
      </c>
      <c r="D13" t="s">
        <v>33</v>
      </c>
      <c r="E13" t="str">
        <f>_xlfn.XLOOKUP(Orders[[#This Row],[customer_id]],'Customers'!A:A,'Customers'!C:C,"Not Found")</f>
        <v>Delhi</v>
      </c>
    </row>
    <row r="14" spans="1:5" x14ac:dyDescent="0.3">
      <c r="A14">
        <v>1013</v>
      </c>
      <c r="B14">
        <v>4</v>
      </c>
      <c r="C14" s="1">
        <v>45400</v>
      </c>
      <c r="D14" t="s">
        <v>34</v>
      </c>
      <c r="E14" t="str">
        <f>_xlfn.XLOOKUP(Orders[[#This Row],[customer_id]],'Customers'!A:A,'Customers'!C:C,"Not Found")</f>
        <v>Nagpur</v>
      </c>
    </row>
    <row r="15" spans="1:5" x14ac:dyDescent="0.3">
      <c r="A15">
        <v>1014</v>
      </c>
      <c r="B15">
        <v>5</v>
      </c>
      <c r="C15" s="1">
        <v>45414</v>
      </c>
      <c r="D15" t="s">
        <v>33</v>
      </c>
      <c r="E15" t="str">
        <f>_xlfn.XLOOKUP(Orders[[#This Row],[customer_id]],'Customers'!A:A,'Customers'!C:C,"Not Found")</f>
        <v>Bangalore</v>
      </c>
    </row>
    <row r="16" spans="1:5" x14ac:dyDescent="0.3">
      <c r="A16">
        <v>1015</v>
      </c>
      <c r="B16">
        <v>7</v>
      </c>
      <c r="C16" s="1">
        <v>45427</v>
      </c>
      <c r="D16" t="s">
        <v>33</v>
      </c>
      <c r="E16" t="str">
        <f>_xlfn.XLOOKUP(Orders[[#This Row],[customer_id]],'Customers'!A:A,'Customers'!C:C,"Not Found")</f>
        <v>Mumbai</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48BE2-A76D-44A7-BB99-E9ED4CEE2265}">
  <dimension ref="A1:G27"/>
  <sheetViews>
    <sheetView workbookViewId="0">
      <selection activeCell="C6" sqref="C6"/>
    </sheetView>
  </sheetViews>
  <sheetFormatPr defaultRowHeight="14.4" x14ac:dyDescent="0.3"/>
  <cols>
    <col min="1" max="1" width="15.88671875" bestFit="1" customWidth="1"/>
    <col min="2" max="2" width="10.109375" bestFit="1" customWidth="1"/>
    <col min="3" max="3" width="12.21875" bestFit="1" customWidth="1"/>
    <col min="4" max="4" width="10.109375" bestFit="1" customWidth="1"/>
    <col min="6" max="6" width="10.88671875" bestFit="1" customWidth="1"/>
    <col min="7" max="7" width="15.109375" bestFit="1" customWidth="1"/>
  </cols>
  <sheetData>
    <row r="1" spans="1:7" x14ac:dyDescent="0.3">
      <c r="A1" t="s">
        <v>66</v>
      </c>
      <c r="B1" t="s">
        <v>30</v>
      </c>
      <c r="C1" t="s">
        <v>36</v>
      </c>
      <c r="D1" t="s">
        <v>67</v>
      </c>
      <c r="E1" t="s">
        <v>68</v>
      </c>
      <c r="F1" t="s">
        <v>78</v>
      </c>
      <c r="G1" t="s">
        <v>81</v>
      </c>
    </row>
    <row r="2" spans="1:7" x14ac:dyDescent="0.3">
      <c r="A2">
        <v>1</v>
      </c>
      <c r="B2">
        <v>1001</v>
      </c>
      <c r="C2">
        <v>101</v>
      </c>
      <c r="D2">
        <v>1</v>
      </c>
      <c r="E2">
        <f>D2*_xlfn.XLOOKUP(C2,Products[product_id],Products[price])</f>
        <v>55000</v>
      </c>
      <c r="F2" t="str">
        <f>_xlfn.XLOOKUP(Order_details[[#This Row],[product_id]],Products!A:A,Products!C:C)</f>
        <v>Electronics</v>
      </c>
      <c r="G2" t="str">
        <f>_xlfn.XLOOKUP(Order_details[[#This Row],[product_id]],Products!A:A,Products!B:B)</f>
        <v>Laptop</v>
      </c>
    </row>
    <row r="3" spans="1:7" x14ac:dyDescent="0.3">
      <c r="A3">
        <v>8</v>
      </c>
      <c r="B3">
        <v>1005</v>
      </c>
      <c r="C3">
        <v>101</v>
      </c>
      <c r="D3">
        <v>1</v>
      </c>
      <c r="E3">
        <f>D3*_xlfn.XLOOKUP(C3,Products[product_id],Products[price])</f>
        <v>55000</v>
      </c>
      <c r="F3" t="str">
        <f>_xlfn.XLOOKUP(Order_details[[#This Row],[product_id]],Products!A:A,Products!C:C)</f>
        <v>Electronics</v>
      </c>
      <c r="G3" t="str">
        <f>_xlfn.XLOOKUP(Order_details[[#This Row],[product_id]],Products!A:A,Products!B:B)</f>
        <v>Laptop</v>
      </c>
    </row>
    <row r="4" spans="1:7" x14ac:dyDescent="0.3">
      <c r="A4">
        <v>15</v>
      </c>
      <c r="B4">
        <v>1009</v>
      </c>
      <c r="C4">
        <v>101</v>
      </c>
      <c r="D4">
        <v>1</v>
      </c>
      <c r="E4">
        <f>D4*_xlfn.XLOOKUP(C4,Products[product_id],Products[price])</f>
        <v>55000</v>
      </c>
      <c r="F4" t="str">
        <f>_xlfn.XLOOKUP(Order_details[[#This Row],[product_id]],Products!A:A,Products!C:C)</f>
        <v>Electronics</v>
      </c>
      <c r="G4" t="str">
        <f>_xlfn.XLOOKUP(Order_details[[#This Row],[product_id]],Products!A:A,Products!B:B)</f>
        <v>Laptop</v>
      </c>
    </row>
    <row r="5" spans="1:7" x14ac:dyDescent="0.3">
      <c r="A5">
        <v>23</v>
      </c>
      <c r="B5">
        <v>1014</v>
      </c>
      <c r="C5">
        <v>101</v>
      </c>
      <c r="D5">
        <v>1</v>
      </c>
      <c r="E5">
        <f>D5*_xlfn.XLOOKUP(C5,Products[product_id],Products[price])</f>
        <v>55000</v>
      </c>
      <c r="F5" t="str">
        <f>_xlfn.XLOOKUP(Order_details[[#This Row],[product_id]],Products!A:A,Products!C:C)</f>
        <v>Electronics</v>
      </c>
      <c r="G5" t="str">
        <f>_xlfn.XLOOKUP(Order_details[[#This Row],[product_id]],Products!A:A,Products!B:B)</f>
        <v>Laptop</v>
      </c>
    </row>
    <row r="6" spans="1:7" x14ac:dyDescent="0.3">
      <c r="A6">
        <v>3</v>
      </c>
      <c r="B6">
        <v>1002</v>
      </c>
      <c r="C6">
        <v>102</v>
      </c>
      <c r="D6">
        <v>1</v>
      </c>
      <c r="E6">
        <f>D6*_xlfn.XLOOKUP(C6,Products[product_id],Products[price])</f>
        <v>30000</v>
      </c>
      <c r="F6" t="str">
        <f>_xlfn.XLOOKUP(Order_details[[#This Row],[product_id]],Products!A:A,Products!C:C)</f>
        <v>Electronics</v>
      </c>
      <c r="G6" t="str">
        <f>_xlfn.XLOOKUP(Order_details[[#This Row],[product_id]],Products!A:A,Products!B:B)</f>
        <v>Smartphone</v>
      </c>
    </row>
    <row r="7" spans="1:7" x14ac:dyDescent="0.3">
      <c r="A7">
        <v>10</v>
      </c>
      <c r="B7">
        <v>1006</v>
      </c>
      <c r="C7">
        <v>102</v>
      </c>
      <c r="D7">
        <v>1</v>
      </c>
      <c r="E7">
        <f>D7*_xlfn.XLOOKUP(C7,Products[product_id],Products[price])</f>
        <v>30000</v>
      </c>
      <c r="F7" t="str">
        <f>_xlfn.XLOOKUP(Order_details[[#This Row],[product_id]],Products!A:A,Products!C:C)</f>
        <v>Electronics</v>
      </c>
      <c r="G7" t="str">
        <f>_xlfn.XLOOKUP(Order_details[[#This Row],[product_id]],Products!A:A,Products!B:B)</f>
        <v>Smartphone</v>
      </c>
    </row>
    <row r="8" spans="1:7" x14ac:dyDescent="0.3">
      <c r="A8">
        <v>19</v>
      </c>
      <c r="B8">
        <v>1011</v>
      </c>
      <c r="C8">
        <v>102</v>
      </c>
      <c r="D8">
        <v>2</v>
      </c>
      <c r="E8">
        <f>D8*_xlfn.XLOOKUP(C8,Products[product_id],Products[price])</f>
        <v>60000</v>
      </c>
      <c r="F8" t="str">
        <f>_xlfn.XLOOKUP(Order_details[[#This Row],[product_id]],Products!A:A,Products!C:C)</f>
        <v>Electronics</v>
      </c>
      <c r="G8" t="str">
        <f>_xlfn.XLOOKUP(Order_details[[#This Row],[product_id]],Products!A:A,Products!B:B)</f>
        <v>Smartphone</v>
      </c>
    </row>
    <row r="9" spans="1:7" x14ac:dyDescent="0.3">
      <c r="A9">
        <v>25</v>
      </c>
      <c r="B9">
        <v>1015</v>
      </c>
      <c r="C9">
        <v>102</v>
      </c>
      <c r="D9">
        <v>1</v>
      </c>
      <c r="E9">
        <f>D9*_xlfn.XLOOKUP(C9,Products[product_id],Products[price])</f>
        <v>30000</v>
      </c>
      <c r="F9" t="str">
        <f>_xlfn.XLOOKUP(Order_details[[#This Row],[product_id]],Products!A:A,Products!C:C)</f>
        <v>Electronics</v>
      </c>
      <c r="G9" t="str">
        <f>_xlfn.XLOOKUP(Order_details[[#This Row],[product_id]],Products!A:A,Products!B:B)</f>
        <v>Smartphone</v>
      </c>
    </row>
    <row r="10" spans="1:7" x14ac:dyDescent="0.3">
      <c r="A10">
        <v>2</v>
      </c>
      <c r="B10">
        <v>1001</v>
      </c>
      <c r="C10">
        <v>103</v>
      </c>
      <c r="D10">
        <v>2</v>
      </c>
      <c r="E10">
        <f>D10*_xlfn.XLOOKUP(C10,Products[product_id],Products[price])</f>
        <v>5000</v>
      </c>
      <c r="F10" t="str">
        <f>_xlfn.XLOOKUP(Order_details[[#This Row],[product_id]],Products!A:A,Products!C:C)</f>
        <v>Electronics</v>
      </c>
      <c r="G10" t="str">
        <f>_xlfn.XLOOKUP(Order_details[[#This Row],[product_id]],Products!A:A,Products!B:B)</f>
        <v>Headphones</v>
      </c>
    </row>
    <row r="11" spans="1:7" x14ac:dyDescent="0.3">
      <c r="A11">
        <v>11</v>
      </c>
      <c r="B11">
        <v>1006</v>
      </c>
      <c r="C11">
        <v>103</v>
      </c>
      <c r="D11">
        <v>1</v>
      </c>
      <c r="E11">
        <f>D11*_xlfn.XLOOKUP(C11,Products[product_id],Products[price])</f>
        <v>2500</v>
      </c>
      <c r="F11" t="str">
        <f>_xlfn.XLOOKUP(Order_details[[#This Row],[product_id]],Products!A:A,Products!C:C)</f>
        <v>Electronics</v>
      </c>
      <c r="G11" t="str">
        <f>_xlfn.XLOOKUP(Order_details[[#This Row],[product_id]],Products!A:A,Products!B:B)</f>
        <v>Headphones</v>
      </c>
    </row>
    <row r="12" spans="1:7" x14ac:dyDescent="0.3">
      <c r="A12">
        <v>20</v>
      </c>
      <c r="B12">
        <v>1012</v>
      </c>
      <c r="C12">
        <v>103</v>
      </c>
      <c r="D12">
        <v>2</v>
      </c>
      <c r="E12">
        <f>D12*_xlfn.XLOOKUP(C12,Products[product_id],Products[price])</f>
        <v>5000</v>
      </c>
      <c r="F12" t="str">
        <f>_xlfn.XLOOKUP(Order_details[[#This Row],[product_id]],Products!A:A,Products!C:C)</f>
        <v>Electronics</v>
      </c>
      <c r="G12" t="str">
        <f>_xlfn.XLOOKUP(Order_details[[#This Row],[product_id]],Products!A:A,Products!B:B)</f>
        <v>Headphones</v>
      </c>
    </row>
    <row r="13" spans="1:7" x14ac:dyDescent="0.3">
      <c r="A13">
        <v>5</v>
      </c>
      <c r="B13">
        <v>1003</v>
      </c>
      <c r="C13">
        <v>104</v>
      </c>
      <c r="D13">
        <v>1</v>
      </c>
      <c r="E13">
        <f>D13*_xlfn.XLOOKUP(C13,Products[product_id],Products[price])</f>
        <v>8500</v>
      </c>
      <c r="F13" t="str">
        <f>_xlfn.XLOOKUP(Order_details[[#This Row],[product_id]],Products!A:A,Products!C:C)</f>
        <v>Furniture</v>
      </c>
      <c r="G13" t="str">
        <f>_xlfn.XLOOKUP(Order_details[[#This Row],[product_id]],Products!A:A,Products!B:B)</f>
        <v>Office Chair</v>
      </c>
    </row>
    <row r="14" spans="1:7" x14ac:dyDescent="0.3">
      <c r="A14">
        <v>12</v>
      </c>
      <c r="B14">
        <v>1007</v>
      </c>
      <c r="C14">
        <v>104</v>
      </c>
      <c r="D14">
        <v>1</v>
      </c>
      <c r="E14">
        <f>D14*_xlfn.XLOOKUP(C14,Products[product_id],Products[price])</f>
        <v>8500</v>
      </c>
      <c r="F14" t="str">
        <f>_xlfn.XLOOKUP(Order_details[[#This Row],[product_id]],Products!A:A,Products!C:C)</f>
        <v>Furniture</v>
      </c>
      <c r="G14" t="str">
        <f>_xlfn.XLOOKUP(Order_details[[#This Row],[product_id]],Products!A:A,Products!B:B)</f>
        <v>Office Chair</v>
      </c>
    </row>
    <row r="15" spans="1:7" x14ac:dyDescent="0.3">
      <c r="A15">
        <v>22</v>
      </c>
      <c r="B15">
        <v>1013</v>
      </c>
      <c r="C15">
        <v>104</v>
      </c>
      <c r="D15">
        <v>1</v>
      </c>
      <c r="E15">
        <f>D15*_xlfn.XLOOKUP(C15,Products[product_id],Products[price])</f>
        <v>8500</v>
      </c>
      <c r="F15" t="str">
        <f>_xlfn.XLOOKUP(Order_details[[#This Row],[product_id]],Products!A:A,Products!C:C)</f>
        <v>Furniture</v>
      </c>
      <c r="G15" t="str">
        <f>_xlfn.XLOOKUP(Order_details[[#This Row],[product_id]],Products!A:A,Products!B:B)</f>
        <v>Office Chair</v>
      </c>
    </row>
    <row r="16" spans="1:7" x14ac:dyDescent="0.3">
      <c r="A16">
        <v>6</v>
      </c>
      <c r="B16">
        <v>1004</v>
      </c>
      <c r="C16">
        <v>105</v>
      </c>
      <c r="D16">
        <v>1</v>
      </c>
      <c r="E16">
        <f>D16*_xlfn.XLOOKUP(C16,Products[product_id],Products[price])</f>
        <v>12000</v>
      </c>
      <c r="F16" t="str">
        <f>_xlfn.XLOOKUP(Order_details[[#This Row],[product_id]],Products!A:A,Products!C:C)</f>
        <v>Furniture</v>
      </c>
      <c r="G16" t="str">
        <f>_xlfn.XLOOKUP(Order_details[[#This Row],[product_id]],Products!A:A,Products!B:B)</f>
        <v>Desk</v>
      </c>
    </row>
    <row r="17" spans="1:7" x14ac:dyDescent="0.3">
      <c r="A17">
        <v>17</v>
      </c>
      <c r="B17">
        <v>1010</v>
      </c>
      <c r="C17">
        <v>105</v>
      </c>
      <c r="D17">
        <v>1</v>
      </c>
      <c r="E17">
        <f>D17*_xlfn.XLOOKUP(C17,Products[product_id],Products[price])</f>
        <v>12000</v>
      </c>
      <c r="F17" t="str">
        <f>_xlfn.XLOOKUP(Order_details[[#This Row],[product_id]],Products!A:A,Products!C:C)</f>
        <v>Furniture</v>
      </c>
      <c r="G17" t="str">
        <f>_xlfn.XLOOKUP(Order_details[[#This Row],[product_id]],Products!A:A,Products!B:B)</f>
        <v>Desk</v>
      </c>
    </row>
    <row r="18" spans="1:7" x14ac:dyDescent="0.3">
      <c r="A18">
        <v>7</v>
      </c>
      <c r="B18">
        <v>1004</v>
      </c>
      <c r="C18">
        <v>106</v>
      </c>
      <c r="D18">
        <v>2</v>
      </c>
      <c r="E18">
        <f>D18*_xlfn.XLOOKUP(C18,Products[product_id],Products[price])</f>
        <v>3600</v>
      </c>
      <c r="F18" t="str">
        <f>_xlfn.XLOOKUP(Order_details[[#This Row],[product_id]],Products!A:A,Products!C:C)</f>
        <v>Accessories</v>
      </c>
      <c r="G18" t="str">
        <f>_xlfn.XLOOKUP(Order_details[[#This Row],[product_id]],Products!A:A,Products!B:B)</f>
        <v>Backpack</v>
      </c>
    </row>
    <row r="19" spans="1:7" x14ac:dyDescent="0.3">
      <c r="A19">
        <v>13</v>
      </c>
      <c r="B19">
        <v>1008</v>
      </c>
      <c r="C19">
        <v>106</v>
      </c>
      <c r="D19">
        <v>3</v>
      </c>
      <c r="E19">
        <f>D19*_xlfn.XLOOKUP(C19,Products[product_id],Products[price])</f>
        <v>5400</v>
      </c>
      <c r="F19" t="str">
        <f>_xlfn.XLOOKUP(Order_details[[#This Row],[product_id]],Products!A:A,Products!C:C)</f>
        <v>Accessories</v>
      </c>
      <c r="G19" t="str">
        <f>_xlfn.XLOOKUP(Order_details[[#This Row],[product_id]],Products!A:A,Products!B:B)</f>
        <v>Backpack</v>
      </c>
    </row>
    <row r="20" spans="1:7" x14ac:dyDescent="0.3">
      <c r="A20">
        <v>4</v>
      </c>
      <c r="B20">
        <v>1002</v>
      </c>
      <c r="C20">
        <v>107</v>
      </c>
      <c r="D20">
        <v>1</v>
      </c>
      <c r="E20">
        <f>D20*_xlfn.XLOOKUP(C20,Products[product_id],Products[price])</f>
        <v>1500</v>
      </c>
      <c r="F20" t="str">
        <f>_xlfn.XLOOKUP(Order_details[[#This Row],[product_id]],Products!A:A,Products!C:C)</f>
        <v>Electronics</v>
      </c>
      <c r="G20" t="str">
        <f>_xlfn.XLOOKUP(Order_details[[#This Row],[product_id]],Products!A:A,Products!B:B)</f>
        <v>Keyboard</v>
      </c>
    </row>
    <row r="21" spans="1:7" x14ac:dyDescent="0.3">
      <c r="A21">
        <v>14</v>
      </c>
      <c r="B21">
        <v>1008</v>
      </c>
      <c r="C21">
        <v>107</v>
      </c>
      <c r="D21">
        <v>1</v>
      </c>
      <c r="E21">
        <f>D21*_xlfn.XLOOKUP(C21,Products[product_id],Products[price])</f>
        <v>1500</v>
      </c>
      <c r="F21" t="str">
        <f>_xlfn.XLOOKUP(Order_details[[#This Row],[product_id]],Products!A:A,Products!C:C)</f>
        <v>Electronics</v>
      </c>
      <c r="G21" t="str">
        <f>_xlfn.XLOOKUP(Order_details[[#This Row],[product_id]],Products!A:A,Products!B:B)</f>
        <v>Keyboard</v>
      </c>
    </row>
    <row r="22" spans="1:7" x14ac:dyDescent="0.3">
      <c r="A22">
        <v>24</v>
      </c>
      <c r="B22">
        <v>1014</v>
      </c>
      <c r="C22">
        <v>107</v>
      </c>
      <c r="D22">
        <v>2</v>
      </c>
      <c r="E22">
        <f>D22*_xlfn.XLOOKUP(C22,Products[product_id],Products[price])</f>
        <v>3000</v>
      </c>
      <c r="F22" t="str">
        <f>_xlfn.XLOOKUP(Order_details[[#This Row],[product_id]],Products!A:A,Products!C:C)</f>
        <v>Electronics</v>
      </c>
      <c r="G22" t="str">
        <f>_xlfn.XLOOKUP(Order_details[[#This Row],[product_id]],Products!A:A,Products!B:B)</f>
        <v>Keyboard</v>
      </c>
    </row>
    <row r="23" spans="1:7" x14ac:dyDescent="0.3">
      <c r="A23">
        <v>9</v>
      </c>
      <c r="B23">
        <v>1005</v>
      </c>
      <c r="C23">
        <v>108</v>
      </c>
      <c r="D23">
        <v>2</v>
      </c>
      <c r="E23">
        <f>D23*_xlfn.XLOOKUP(C23,Products[product_id],Products[price])</f>
        <v>1600</v>
      </c>
      <c r="F23" t="str">
        <f>_xlfn.XLOOKUP(Order_details[[#This Row],[product_id]],Products!A:A,Products!C:C)</f>
        <v>Electronics</v>
      </c>
      <c r="G23" t="str">
        <f>_xlfn.XLOOKUP(Order_details[[#This Row],[product_id]],Products!A:A,Products!B:B)</f>
        <v>Mouse</v>
      </c>
    </row>
    <row r="24" spans="1:7" x14ac:dyDescent="0.3">
      <c r="A24">
        <v>16</v>
      </c>
      <c r="B24">
        <v>1009</v>
      </c>
      <c r="C24">
        <v>108</v>
      </c>
      <c r="D24">
        <v>1</v>
      </c>
      <c r="E24">
        <f>D24*_xlfn.XLOOKUP(C24,Products[product_id],Products[price])</f>
        <v>800</v>
      </c>
      <c r="F24" t="str">
        <f>_xlfn.XLOOKUP(Order_details[[#This Row],[product_id]],Products!A:A,Products!C:C)</f>
        <v>Electronics</v>
      </c>
      <c r="G24" t="str">
        <f>_xlfn.XLOOKUP(Order_details[[#This Row],[product_id]],Products!A:A,Products!B:B)</f>
        <v>Mouse</v>
      </c>
    </row>
    <row r="25" spans="1:7" x14ac:dyDescent="0.3">
      <c r="A25">
        <v>18</v>
      </c>
      <c r="B25">
        <v>1010</v>
      </c>
      <c r="C25">
        <v>109</v>
      </c>
      <c r="D25">
        <v>2</v>
      </c>
      <c r="E25">
        <f>D25*_xlfn.XLOOKUP(C25,Products[product_id],Products[price])</f>
        <v>1200</v>
      </c>
      <c r="F25" t="str">
        <f>_xlfn.XLOOKUP(Order_details[[#This Row],[product_id]],Products!A:A,Products!C:C)</f>
        <v>Lifestyle</v>
      </c>
      <c r="G25" t="str">
        <f>_xlfn.XLOOKUP(Order_details[[#This Row],[product_id]],Products!A:A,Products!B:B)</f>
        <v>Water Bottle</v>
      </c>
    </row>
    <row r="26" spans="1:7" x14ac:dyDescent="0.3">
      <c r="A26">
        <v>26</v>
      </c>
      <c r="B26">
        <v>1015</v>
      </c>
      <c r="C26">
        <v>109</v>
      </c>
      <c r="D26">
        <v>3</v>
      </c>
      <c r="E26">
        <f>D26*_xlfn.XLOOKUP(C26,Products[product_id],Products[price])</f>
        <v>1800</v>
      </c>
      <c r="F26" t="str">
        <f>_xlfn.XLOOKUP(Order_details[[#This Row],[product_id]],Products!A:A,Products!C:C)</f>
        <v>Lifestyle</v>
      </c>
      <c r="G26" t="str">
        <f>_xlfn.XLOOKUP(Order_details[[#This Row],[product_id]],Products!A:A,Products!B:B)</f>
        <v>Water Bottle</v>
      </c>
    </row>
    <row r="27" spans="1:7" x14ac:dyDescent="0.3">
      <c r="A27">
        <v>21</v>
      </c>
      <c r="B27">
        <v>1012</v>
      </c>
      <c r="C27">
        <v>110</v>
      </c>
      <c r="D27">
        <v>5</v>
      </c>
      <c r="E27">
        <f>D27*_xlfn.XLOOKUP(C27,Products[product_id],Products[price])</f>
        <v>1250</v>
      </c>
      <c r="F27" t="str">
        <f>_xlfn.XLOOKUP(Order_details[[#This Row],[product_id]],Products!A:A,Products!C:C)</f>
        <v>Stationery</v>
      </c>
      <c r="G27" t="str">
        <f>_xlfn.XLOOKUP(Order_details[[#This Row],[product_id]],Products!A:A,Products!B:B)</f>
        <v>Notebook</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3BD66-5E1B-411B-A8AC-FA4A3F428943}">
  <dimension ref="A1:F16"/>
  <sheetViews>
    <sheetView workbookViewId="0">
      <selection activeCell="C8" sqref="C8"/>
    </sheetView>
  </sheetViews>
  <sheetFormatPr defaultRowHeight="14.4" x14ac:dyDescent="0.3"/>
  <cols>
    <col min="1" max="1" width="13" bestFit="1" customWidth="1"/>
    <col min="2" max="2" width="10.109375" bestFit="1" customWidth="1"/>
    <col min="3" max="3" width="15.109375" bestFit="1" customWidth="1"/>
    <col min="4" max="4" width="17.88671875" bestFit="1" customWidth="1"/>
    <col min="5" max="5" width="9.5546875" bestFit="1" customWidth="1"/>
    <col min="6" max="6" width="16.5546875" bestFit="1" customWidth="1"/>
  </cols>
  <sheetData>
    <row r="1" spans="1:6" x14ac:dyDescent="0.3">
      <c r="A1" t="s">
        <v>55</v>
      </c>
      <c r="B1" t="s">
        <v>30</v>
      </c>
      <c r="C1" t="s">
        <v>56</v>
      </c>
      <c r="D1" t="s">
        <v>57</v>
      </c>
      <c r="E1" t="s">
        <v>58</v>
      </c>
      <c r="F1" t="s">
        <v>59</v>
      </c>
    </row>
    <row r="2" spans="1:6" x14ac:dyDescent="0.3">
      <c r="A2">
        <v>501</v>
      </c>
      <c r="B2">
        <v>1001</v>
      </c>
      <c r="C2" s="1">
        <v>45296</v>
      </c>
      <c r="D2" t="s">
        <v>60</v>
      </c>
      <c r="E2">
        <v>60000</v>
      </c>
      <c r="F2" t="s">
        <v>61</v>
      </c>
    </row>
    <row r="3" spans="1:6" x14ac:dyDescent="0.3">
      <c r="A3">
        <v>502</v>
      </c>
      <c r="B3">
        <v>1002</v>
      </c>
      <c r="C3" s="1">
        <v>45299</v>
      </c>
      <c r="D3" t="s">
        <v>62</v>
      </c>
      <c r="E3">
        <v>31500</v>
      </c>
      <c r="F3" t="s">
        <v>61</v>
      </c>
    </row>
    <row r="4" spans="1:6" x14ac:dyDescent="0.3">
      <c r="A4">
        <v>503</v>
      </c>
      <c r="B4">
        <v>1003</v>
      </c>
      <c r="C4" s="1">
        <v>45303</v>
      </c>
      <c r="D4" t="s">
        <v>60</v>
      </c>
      <c r="E4">
        <v>8500</v>
      </c>
      <c r="F4" t="s">
        <v>63</v>
      </c>
    </row>
    <row r="5" spans="1:6" x14ac:dyDescent="0.3">
      <c r="A5">
        <v>504</v>
      </c>
      <c r="B5">
        <v>1004</v>
      </c>
      <c r="C5" s="1">
        <v>45324</v>
      </c>
      <c r="D5" t="s">
        <v>64</v>
      </c>
      <c r="E5">
        <v>15600</v>
      </c>
      <c r="F5" t="s">
        <v>61</v>
      </c>
    </row>
    <row r="6" spans="1:6" x14ac:dyDescent="0.3">
      <c r="A6">
        <v>505</v>
      </c>
      <c r="B6">
        <v>1005</v>
      </c>
      <c r="C6" s="1">
        <v>45332</v>
      </c>
      <c r="D6" t="s">
        <v>62</v>
      </c>
      <c r="E6">
        <v>56600</v>
      </c>
      <c r="F6" t="s">
        <v>61</v>
      </c>
    </row>
    <row r="7" spans="1:6" x14ac:dyDescent="0.3">
      <c r="A7">
        <v>506</v>
      </c>
      <c r="B7">
        <v>1006</v>
      </c>
      <c r="C7" s="1">
        <v>45337</v>
      </c>
      <c r="D7" t="s">
        <v>60</v>
      </c>
      <c r="E7">
        <v>32500</v>
      </c>
      <c r="F7" t="s">
        <v>61</v>
      </c>
    </row>
    <row r="8" spans="1:6" x14ac:dyDescent="0.3">
      <c r="A8">
        <v>507</v>
      </c>
      <c r="B8">
        <v>1007</v>
      </c>
      <c r="C8" s="1">
        <v>45352</v>
      </c>
      <c r="D8" t="s">
        <v>62</v>
      </c>
      <c r="E8">
        <v>8500</v>
      </c>
      <c r="F8" t="s">
        <v>35</v>
      </c>
    </row>
    <row r="9" spans="1:6" x14ac:dyDescent="0.3">
      <c r="A9">
        <v>508</v>
      </c>
      <c r="B9">
        <v>1008</v>
      </c>
      <c r="C9" s="1">
        <v>45358</v>
      </c>
      <c r="D9" t="s">
        <v>65</v>
      </c>
      <c r="E9">
        <v>6900</v>
      </c>
      <c r="F9" t="s">
        <v>61</v>
      </c>
    </row>
    <row r="10" spans="1:6" x14ac:dyDescent="0.3">
      <c r="A10">
        <v>509</v>
      </c>
      <c r="B10">
        <v>1009</v>
      </c>
      <c r="C10" s="1">
        <v>45366</v>
      </c>
      <c r="D10" t="s">
        <v>60</v>
      </c>
      <c r="E10">
        <v>55800</v>
      </c>
      <c r="F10" t="s">
        <v>61</v>
      </c>
    </row>
    <row r="11" spans="1:6" x14ac:dyDescent="0.3">
      <c r="A11">
        <v>510</v>
      </c>
      <c r="B11">
        <v>1010</v>
      </c>
      <c r="C11" s="1">
        <v>45371</v>
      </c>
      <c r="D11" t="s">
        <v>62</v>
      </c>
      <c r="E11">
        <v>13200</v>
      </c>
      <c r="F11" t="s">
        <v>61</v>
      </c>
    </row>
    <row r="12" spans="1:6" x14ac:dyDescent="0.3">
      <c r="A12">
        <v>511</v>
      </c>
      <c r="B12">
        <v>1011</v>
      </c>
      <c r="C12" s="1">
        <v>45387</v>
      </c>
      <c r="D12" t="s">
        <v>60</v>
      </c>
      <c r="E12">
        <v>60000</v>
      </c>
      <c r="F12" t="s">
        <v>61</v>
      </c>
    </row>
    <row r="13" spans="1:6" x14ac:dyDescent="0.3">
      <c r="A13">
        <v>512</v>
      </c>
      <c r="B13">
        <v>1012</v>
      </c>
      <c r="C13" s="1">
        <v>45392</v>
      </c>
      <c r="D13" t="s">
        <v>64</v>
      </c>
      <c r="E13">
        <v>5500</v>
      </c>
      <c r="F13" t="s">
        <v>61</v>
      </c>
    </row>
    <row r="14" spans="1:6" x14ac:dyDescent="0.3">
      <c r="A14">
        <v>513</v>
      </c>
      <c r="B14">
        <v>1013</v>
      </c>
      <c r="C14" s="1">
        <v>45400</v>
      </c>
      <c r="D14" t="s">
        <v>62</v>
      </c>
      <c r="E14">
        <v>8500</v>
      </c>
      <c r="F14" t="s">
        <v>63</v>
      </c>
    </row>
    <row r="15" spans="1:6" x14ac:dyDescent="0.3">
      <c r="A15">
        <v>514</v>
      </c>
      <c r="B15">
        <v>1014</v>
      </c>
      <c r="C15" s="1">
        <v>45414</v>
      </c>
      <c r="D15" t="s">
        <v>60</v>
      </c>
      <c r="E15">
        <v>58000</v>
      </c>
      <c r="F15" t="s">
        <v>61</v>
      </c>
    </row>
    <row r="16" spans="1:6" x14ac:dyDescent="0.3">
      <c r="A16">
        <v>515</v>
      </c>
      <c r="B16">
        <v>1015</v>
      </c>
      <c r="C16" s="1">
        <v>45427</v>
      </c>
      <c r="D16" t="s">
        <v>62</v>
      </c>
      <c r="E16">
        <v>31800</v>
      </c>
      <c r="F16" t="s">
        <v>61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6169B-FD0D-449B-9C17-1AF71574290A}">
  <dimension ref="A1:D11"/>
  <sheetViews>
    <sheetView workbookViewId="0">
      <selection activeCell="G24" sqref="G24"/>
    </sheetView>
  </sheetViews>
  <sheetFormatPr defaultRowHeight="14.4" x14ac:dyDescent="0.3"/>
  <cols>
    <col min="1" max="1" width="12.21875" bestFit="1" customWidth="1"/>
    <col min="2" max="2" width="15.33203125" bestFit="1" customWidth="1"/>
    <col min="3" max="3" width="10.88671875" bestFit="1" customWidth="1"/>
    <col min="4" max="4" width="7.5546875" bestFit="1" customWidth="1"/>
  </cols>
  <sheetData>
    <row r="1" spans="1:4" x14ac:dyDescent="0.3">
      <c r="A1" t="s">
        <v>36</v>
      </c>
      <c r="B1" t="s">
        <v>37</v>
      </c>
      <c r="C1" t="s">
        <v>38</v>
      </c>
      <c r="D1" t="s">
        <v>39</v>
      </c>
    </row>
    <row r="2" spans="1:4" x14ac:dyDescent="0.3">
      <c r="A2">
        <v>101</v>
      </c>
      <c r="B2" t="s">
        <v>40</v>
      </c>
      <c r="C2" t="s">
        <v>41</v>
      </c>
      <c r="D2">
        <v>55000</v>
      </c>
    </row>
    <row r="3" spans="1:4" x14ac:dyDescent="0.3">
      <c r="A3">
        <v>102</v>
      </c>
      <c r="B3" t="s">
        <v>42</v>
      </c>
      <c r="C3" t="s">
        <v>41</v>
      </c>
      <c r="D3">
        <v>30000</v>
      </c>
    </row>
    <row r="4" spans="1:4" x14ac:dyDescent="0.3">
      <c r="A4">
        <v>103</v>
      </c>
      <c r="B4" t="s">
        <v>43</v>
      </c>
      <c r="C4" t="s">
        <v>41</v>
      </c>
      <c r="D4">
        <v>2500</v>
      </c>
    </row>
    <row r="5" spans="1:4" x14ac:dyDescent="0.3">
      <c r="A5">
        <v>104</v>
      </c>
      <c r="B5" t="s">
        <v>44</v>
      </c>
      <c r="C5" t="s">
        <v>45</v>
      </c>
      <c r="D5">
        <v>8500</v>
      </c>
    </row>
    <row r="6" spans="1:4" x14ac:dyDescent="0.3">
      <c r="A6">
        <v>105</v>
      </c>
      <c r="B6" t="s">
        <v>46</v>
      </c>
      <c r="C6" t="s">
        <v>45</v>
      </c>
      <c r="D6">
        <v>12000</v>
      </c>
    </row>
    <row r="7" spans="1:4" x14ac:dyDescent="0.3">
      <c r="A7">
        <v>106</v>
      </c>
      <c r="B7" t="s">
        <v>47</v>
      </c>
      <c r="C7" t="s">
        <v>48</v>
      </c>
      <c r="D7">
        <v>1800</v>
      </c>
    </row>
    <row r="8" spans="1:4" x14ac:dyDescent="0.3">
      <c r="A8">
        <v>107</v>
      </c>
      <c r="B8" t="s">
        <v>49</v>
      </c>
      <c r="C8" t="s">
        <v>41</v>
      </c>
      <c r="D8">
        <v>1500</v>
      </c>
    </row>
    <row r="9" spans="1:4" x14ac:dyDescent="0.3">
      <c r="A9">
        <v>108</v>
      </c>
      <c r="B9" t="s">
        <v>50</v>
      </c>
      <c r="C9" t="s">
        <v>41</v>
      </c>
      <c r="D9">
        <v>800</v>
      </c>
    </row>
    <row r="10" spans="1:4" x14ac:dyDescent="0.3">
      <c r="A10">
        <v>109</v>
      </c>
      <c r="B10" t="s">
        <v>51</v>
      </c>
      <c r="C10" t="s">
        <v>52</v>
      </c>
      <c r="D10">
        <v>600</v>
      </c>
    </row>
    <row r="11" spans="1:4" x14ac:dyDescent="0.3">
      <c r="A11">
        <v>110</v>
      </c>
      <c r="B11" t="s">
        <v>53</v>
      </c>
      <c r="C11" t="s">
        <v>54</v>
      </c>
      <c r="D11">
        <v>250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112F9-087D-4AB0-BD5C-6C4D3BC572C1}">
  <dimension ref="A2:Z4"/>
  <sheetViews>
    <sheetView showGridLines="0" tabSelected="1" zoomScale="75" workbookViewId="0">
      <selection activeCell="AC13" sqref="AC13"/>
    </sheetView>
  </sheetViews>
  <sheetFormatPr defaultRowHeight="14.4" x14ac:dyDescent="0.3"/>
  <cols>
    <col min="26" max="26" width="14.33203125" customWidth="1"/>
  </cols>
  <sheetData>
    <row r="2" spans="1:26" x14ac:dyDescent="0.3">
      <c r="A2" s="4" t="s">
        <v>83</v>
      </c>
      <c r="B2" s="5"/>
      <c r="C2" s="5"/>
      <c r="D2" s="5"/>
      <c r="E2" s="5"/>
      <c r="F2" s="5"/>
      <c r="G2" s="5"/>
      <c r="H2" s="5"/>
      <c r="I2" s="5"/>
      <c r="J2" s="5"/>
      <c r="K2" s="5"/>
      <c r="L2" s="5"/>
      <c r="M2" s="5"/>
      <c r="N2" s="5"/>
      <c r="O2" s="5"/>
      <c r="P2" s="5"/>
      <c r="Q2" s="5"/>
      <c r="R2" s="5"/>
      <c r="S2" s="5"/>
      <c r="T2" s="5"/>
      <c r="U2" s="5"/>
      <c r="V2" s="5"/>
      <c r="W2" s="5"/>
      <c r="X2" s="5"/>
      <c r="Y2" s="5"/>
      <c r="Z2" s="5"/>
    </row>
    <row r="3" spans="1:26" x14ac:dyDescent="0.3">
      <c r="A3" s="5"/>
      <c r="B3" s="5"/>
      <c r="C3" s="5"/>
      <c r="D3" s="5"/>
      <c r="E3" s="5"/>
      <c r="F3" s="5"/>
      <c r="G3" s="5"/>
      <c r="H3" s="5"/>
      <c r="I3" s="5"/>
      <c r="J3" s="5"/>
      <c r="K3" s="5"/>
      <c r="L3" s="5"/>
      <c r="M3" s="5"/>
      <c r="N3" s="5"/>
      <c r="O3" s="5"/>
      <c r="P3" s="5"/>
      <c r="Q3" s="5"/>
      <c r="R3" s="5"/>
      <c r="S3" s="5"/>
      <c r="T3" s="5"/>
      <c r="U3" s="5"/>
      <c r="V3" s="5"/>
      <c r="W3" s="5"/>
      <c r="X3" s="5"/>
      <c r="Y3" s="5"/>
      <c r="Z3" s="5"/>
    </row>
    <row r="4" spans="1:26" x14ac:dyDescent="0.3">
      <c r="A4" s="5"/>
      <c r="B4" s="5"/>
      <c r="C4" s="5"/>
      <c r="D4" s="5"/>
      <c r="E4" s="5"/>
      <c r="F4" s="5"/>
      <c r="G4" s="5"/>
      <c r="H4" s="5"/>
      <c r="I4" s="5"/>
      <c r="J4" s="5"/>
      <c r="K4" s="5"/>
      <c r="L4" s="5"/>
      <c r="M4" s="5"/>
      <c r="N4" s="5"/>
      <c r="O4" s="5"/>
      <c r="P4" s="5"/>
      <c r="Q4" s="5"/>
      <c r="R4" s="5"/>
      <c r="S4" s="5"/>
      <c r="T4" s="5"/>
      <c r="U4" s="5"/>
      <c r="V4" s="5"/>
      <c r="W4" s="5"/>
      <c r="X4" s="5"/>
      <c r="Y4" s="5"/>
      <c r="Z4" s="5"/>
    </row>
  </sheetData>
  <mergeCells count="1">
    <mergeCell ref="A2:Z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0D512-203B-40E0-B71D-FDF7E814A1C9}">
  <dimension ref="A1:H52"/>
  <sheetViews>
    <sheetView zoomScale="48" workbookViewId="0">
      <selection activeCell="B3" sqref="B3"/>
    </sheetView>
  </sheetViews>
  <sheetFormatPr defaultRowHeight="14.4" x14ac:dyDescent="0.3"/>
  <cols>
    <col min="1" max="1" width="38.77734375" bestFit="1" customWidth="1"/>
    <col min="2" max="2" width="21.6640625" bestFit="1" customWidth="1"/>
    <col min="3" max="3" width="23.21875" bestFit="1" customWidth="1"/>
    <col min="4" max="4" width="20.6640625" bestFit="1" customWidth="1"/>
    <col min="5" max="5" width="19.109375" bestFit="1" customWidth="1"/>
    <col min="6" max="7" width="20" bestFit="1" customWidth="1"/>
    <col min="8" max="8" width="21.6640625" bestFit="1" customWidth="1"/>
    <col min="9" max="16" width="10.33203125" bestFit="1" customWidth="1"/>
    <col min="17" max="17" width="10.5546875" bestFit="1" customWidth="1"/>
  </cols>
  <sheetData>
    <row r="1" spans="1:8" x14ac:dyDescent="0.3">
      <c r="A1" t="s">
        <v>85</v>
      </c>
      <c r="B1" t="s">
        <v>79</v>
      </c>
      <c r="C1" t="s">
        <v>77</v>
      </c>
      <c r="D1" t="s">
        <v>84</v>
      </c>
      <c r="E1" t="s">
        <v>88</v>
      </c>
    </row>
    <row r="2" spans="1:8" x14ac:dyDescent="0.3">
      <c r="A2">
        <v>10</v>
      </c>
      <c r="B2">
        <v>453650</v>
      </c>
      <c r="C2">
        <v>15</v>
      </c>
      <c r="D2">
        <v>41</v>
      </c>
      <c r="E2">
        <f>GETPIVOTDATA("[Measures].[Sum of Revenue]",$B$1)/GETPIVOTDATA("[Measures].[Count of order_id]",$C$1)</f>
        <v>30243.333333333332</v>
      </c>
    </row>
    <row r="4" spans="1:8" x14ac:dyDescent="0.3">
      <c r="G4" s="2" t="s">
        <v>69</v>
      </c>
      <c r="H4" t="s">
        <v>79</v>
      </c>
    </row>
    <row r="5" spans="1:8" x14ac:dyDescent="0.3">
      <c r="A5" s="2" t="s">
        <v>86</v>
      </c>
      <c r="B5" s="2" t="s">
        <v>87</v>
      </c>
      <c r="C5" t="s">
        <v>77</v>
      </c>
      <c r="G5" s="3" t="s">
        <v>46</v>
      </c>
      <c r="H5">
        <v>24000</v>
      </c>
    </row>
    <row r="6" spans="1:8" x14ac:dyDescent="0.3">
      <c r="A6" t="s">
        <v>76</v>
      </c>
      <c r="B6" t="s">
        <v>71</v>
      </c>
      <c r="C6">
        <v>3</v>
      </c>
      <c r="G6" s="3" t="s">
        <v>43</v>
      </c>
      <c r="H6">
        <v>12500</v>
      </c>
    </row>
    <row r="7" spans="1:8" x14ac:dyDescent="0.3">
      <c r="A7" t="s">
        <v>76</v>
      </c>
      <c r="B7" t="s">
        <v>73</v>
      </c>
      <c r="C7">
        <v>3</v>
      </c>
      <c r="G7" s="3" t="s">
        <v>40</v>
      </c>
      <c r="H7">
        <v>220000</v>
      </c>
    </row>
    <row r="8" spans="1:8" x14ac:dyDescent="0.3">
      <c r="A8" t="s">
        <v>76</v>
      </c>
      <c r="B8" t="s">
        <v>74</v>
      </c>
      <c r="C8">
        <v>4</v>
      </c>
      <c r="G8" s="3" t="s">
        <v>44</v>
      </c>
      <c r="H8">
        <v>25500</v>
      </c>
    </row>
    <row r="9" spans="1:8" x14ac:dyDescent="0.3">
      <c r="A9" t="s">
        <v>76</v>
      </c>
      <c r="B9" t="s">
        <v>72</v>
      </c>
      <c r="C9">
        <v>3</v>
      </c>
      <c r="G9" s="3" t="s">
        <v>42</v>
      </c>
      <c r="H9">
        <v>150000</v>
      </c>
    </row>
    <row r="10" spans="1:8" x14ac:dyDescent="0.3">
      <c r="A10" t="s">
        <v>76</v>
      </c>
      <c r="B10" t="s">
        <v>75</v>
      </c>
      <c r="C10">
        <v>2</v>
      </c>
      <c r="G10" s="3" t="s">
        <v>70</v>
      </c>
      <c r="H10">
        <v>432000</v>
      </c>
    </row>
    <row r="11" spans="1:8" x14ac:dyDescent="0.3">
      <c r="A11" t="s">
        <v>70</v>
      </c>
      <c r="C11">
        <v>15</v>
      </c>
    </row>
    <row r="28" spans="1:7" x14ac:dyDescent="0.3">
      <c r="F28" s="2" t="s">
        <v>69</v>
      </c>
      <c r="G28" t="s">
        <v>77</v>
      </c>
    </row>
    <row r="29" spans="1:7" x14ac:dyDescent="0.3">
      <c r="A29" s="2" t="s">
        <v>69</v>
      </c>
      <c r="B29" t="s">
        <v>79</v>
      </c>
      <c r="F29" s="3" t="s">
        <v>28</v>
      </c>
      <c r="G29">
        <v>1</v>
      </c>
    </row>
    <row r="30" spans="1:7" x14ac:dyDescent="0.3">
      <c r="A30" s="3" t="s">
        <v>48</v>
      </c>
      <c r="B30">
        <v>9000</v>
      </c>
      <c r="F30" s="3" t="s">
        <v>15</v>
      </c>
      <c r="G30">
        <v>2</v>
      </c>
    </row>
    <row r="31" spans="1:7" x14ac:dyDescent="0.3">
      <c r="A31" s="3" t="s">
        <v>41</v>
      </c>
      <c r="B31">
        <v>390900</v>
      </c>
      <c r="F31" s="3" t="s">
        <v>22</v>
      </c>
      <c r="G31">
        <v>1</v>
      </c>
    </row>
    <row r="32" spans="1:7" x14ac:dyDescent="0.3">
      <c r="A32" s="3" t="s">
        <v>45</v>
      </c>
      <c r="B32">
        <v>49500</v>
      </c>
      <c r="F32" s="3" t="s">
        <v>11</v>
      </c>
      <c r="G32">
        <v>2</v>
      </c>
    </row>
    <row r="33" spans="1:7" x14ac:dyDescent="0.3">
      <c r="A33" s="3" t="s">
        <v>52</v>
      </c>
      <c r="B33">
        <v>3000</v>
      </c>
      <c r="F33" s="3" t="s">
        <v>18</v>
      </c>
      <c r="G33">
        <v>1</v>
      </c>
    </row>
    <row r="34" spans="1:7" x14ac:dyDescent="0.3">
      <c r="A34" s="3" t="s">
        <v>54</v>
      </c>
      <c r="B34">
        <v>1250</v>
      </c>
      <c r="F34" s="3" t="s">
        <v>25</v>
      </c>
      <c r="G34">
        <v>1</v>
      </c>
    </row>
    <row r="35" spans="1:7" x14ac:dyDescent="0.3">
      <c r="A35" s="3" t="s">
        <v>70</v>
      </c>
      <c r="B35">
        <v>453650</v>
      </c>
      <c r="F35" s="3" t="s">
        <v>6</v>
      </c>
      <c r="G35">
        <v>4</v>
      </c>
    </row>
    <row r="36" spans="1:7" x14ac:dyDescent="0.3">
      <c r="F36" s="3" t="s">
        <v>13</v>
      </c>
      <c r="G36">
        <v>2</v>
      </c>
    </row>
    <row r="37" spans="1:7" x14ac:dyDescent="0.3">
      <c r="F37" s="3" t="s">
        <v>9</v>
      </c>
      <c r="G37">
        <v>1</v>
      </c>
    </row>
    <row r="38" spans="1:7" x14ac:dyDescent="0.3">
      <c r="F38" s="3" t="s">
        <v>70</v>
      </c>
      <c r="G38">
        <v>15</v>
      </c>
    </row>
    <row r="47" spans="1:7" x14ac:dyDescent="0.3">
      <c r="F47" s="2" t="s">
        <v>69</v>
      </c>
      <c r="G47" t="s">
        <v>80</v>
      </c>
    </row>
    <row r="48" spans="1:7" x14ac:dyDescent="0.3">
      <c r="F48" s="3" t="s">
        <v>65</v>
      </c>
      <c r="G48">
        <v>6900</v>
      </c>
    </row>
    <row r="49" spans="6:7" x14ac:dyDescent="0.3">
      <c r="F49" s="3" t="s">
        <v>60</v>
      </c>
      <c r="G49">
        <v>274800</v>
      </c>
    </row>
    <row r="50" spans="6:7" x14ac:dyDescent="0.3">
      <c r="F50" s="3" t="s">
        <v>64</v>
      </c>
      <c r="G50">
        <v>21100</v>
      </c>
    </row>
    <row r="51" spans="6:7" x14ac:dyDescent="0.3">
      <c r="F51" s="3" t="s">
        <v>62</v>
      </c>
      <c r="G51">
        <v>150100</v>
      </c>
    </row>
    <row r="52" spans="6:7" x14ac:dyDescent="0.3">
      <c r="F52" s="3" t="s">
        <v>70</v>
      </c>
      <c r="G52">
        <v>452900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844D9F8B-C8F0-4FA4-B28C-FC05BC738301}">
  <ds:schemaRefs/>
</ds:datastoreItem>
</file>

<file path=customXml/itemProps2.xml><?xml version="1.0" encoding="utf-8"?>
<ds:datastoreItem xmlns:ds="http://schemas.openxmlformats.org/officeDocument/2006/customXml" ds:itemID="{05D05F8C-77ED-4148-9723-56C9C794D1E3}">
  <ds:schemaRefs/>
</ds:datastoreItem>
</file>

<file path=customXml/itemProps3.xml><?xml version="1.0" encoding="utf-8"?>
<ds:datastoreItem xmlns:ds="http://schemas.openxmlformats.org/officeDocument/2006/customXml" ds:itemID="{6C8874C1-C68E-4F38-B9BD-8135619383AC}">
  <ds:schemaRefs/>
</ds:datastoreItem>
</file>

<file path=customXml/itemProps4.xml><?xml version="1.0" encoding="utf-8"?>
<ds:datastoreItem xmlns:ds="http://schemas.openxmlformats.org/officeDocument/2006/customXml" ds:itemID="{77A8FD13-2024-4976-8E1D-8F991EC384EC}">
  <ds:schemaRefs/>
</ds:datastoreItem>
</file>

<file path=customXml/itemProps5.xml><?xml version="1.0" encoding="utf-8"?>
<ds:datastoreItem xmlns:ds="http://schemas.openxmlformats.org/officeDocument/2006/customXml" ds:itemID="{9089A2F6-5400-4285-B85B-FF36D9FCB3A4}">
  <ds:schemaRefs/>
</ds:datastoreItem>
</file>

<file path=customXml/itemProps6.xml><?xml version="1.0" encoding="utf-8"?>
<ds:datastoreItem xmlns:ds="http://schemas.openxmlformats.org/officeDocument/2006/customXml" ds:itemID="{142E84BC-60C6-4F36-AE5D-B7B13FC5EF60}">
  <ds:schemaRefs/>
</ds:datastoreItem>
</file>

<file path=customXml/itemProps7.xml><?xml version="1.0" encoding="utf-8"?>
<ds:datastoreItem xmlns:ds="http://schemas.openxmlformats.org/officeDocument/2006/customXml" ds:itemID="{B97EF086-5F85-4070-895C-9472DE12BF2E}">
  <ds:schemaRefs/>
</ds:datastoreItem>
</file>

<file path=customXml/itemProps8.xml><?xml version="1.0" encoding="utf-8"?>
<ds:datastoreItem xmlns:ds="http://schemas.openxmlformats.org/officeDocument/2006/customXml" ds:itemID="{6E98117A-E0DD-44C2-950F-D682F3B22A8C}">
  <ds:schemaRefs/>
</ds:datastoreItem>
</file>

<file path=customXml/itemProps9.xml><?xml version="1.0" encoding="utf-8"?>
<ds:datastoreItem xmlns:ds="http://schemas.openxmlformats.org/officeDocument/2006/customXml" ds:itemID="{EC271D2A-DB70-44D3-9748-549220DE3C72}">
  <ds:schemaRefs/>
</ds:datastoreItem>
</file>

<file path=customXml/itemProps10.xml><?xml version="1.0" encoding="utf-8"?>
<ds:datastoreItem xmlns:ds="http://schemas.openxmlformats.org/officeDocument/2006/customXml" ds:itemID="{B4FE2B8A-F034-4668-BB67-9AD1C3D447EC}">
  <ds:schemaRefs/>
</ds:datastoreItem>
</file>

<file path=customXml/itemProps11.xml><?xml version="1.0" encoding="utf-8"?>
<ds:datastoreItem xmlns:ds="http://schemas.openxmlformats.org/officeDocument/2006/customXml" ds:itemID="{0C0EC5CA-5DC8-45F9-99D5-A6CC218C3663}">
  <ds:schemaRefs/>
</ds:datastoreItem>
</file>

<file path=customXml/itemProps12.xml><?xml version="1.0" encoding="utf-8"?>
<ds:datastoreItem xmlns:ds="http://schemas.openxmlformats.org/officeDocument/2006/customXml" ds:itemID="{3C1EF730-7922-4D0B-9419-30F3B8E9B145}">
  <ds:schemaRefs>
    <ds:schemaRef ds:uri="http://schemas.microsoft.com/DataMashup"/>
  </ds:schemaRefs>
</ds:datastoreItem>
</file>

<file path=customXml/itemProps13.xml><?xml version="1.0" encoding="utf-8"?>
<ds:datastoreItem xmlns:ds="http://schemas.openxmlformats.org/officeDocument/2006/customXml" ds:itemID="{A47B2AEF-235A-4609-8E80-5D900C4F81C7}">
  <ds:schemaRefs/>
</ds:datastoreItem>
</file>

<file path=customXml/itemProps14.xml><?xml version="1.0" encoding="utf-8"?>
<ds:datastoreItem xmlns:ds="http://schemas.openxmlformats.org/officeDocument/2006/customXml" ds:itemID="{86314357-32FC-40D1-B182-CF8E89DB9DBE}">
  <ds:schemaRefs/>
</ds:datastoreItem>
</file>

<file path=customXml/itemProps15.xml><?xml version="1.0" encoding="utf-8"?>
<ds:datastoreItem xmlns:ds="http://schemas.openxmlformats.org/officeDocument/2006/customXml" ds:itemID="{0EC14831-0A7C-4633-8E29-2A2926EEE6F6}">
  <ds:schemaRefs/>
</ds:datastoreItem>
</file>

<file path=customXml/itemProps16.xml><?xml version="1.0" encoding="utf-8"?>
<ds:datastoreItem xmlns:ds="http://schemas.openxmlformats.org/officeDocument/2006/customXml" ds:itemID="{B1BF3456-21FF-49FD-B256-6EFBEDF8C03A}">
  <ds:schemaRefs/>
</ds:datastoreItem>
</file>

<file path=customXml/itemProps17.xml><?xml version="1.0" encoding="utf-8"?>
<ds:datastoreItem xmlns:ds="http://schemas.openxmlformats.org/officeDocument/2006/customXml" ds:itemID="{90FB3FC9-3322-48D4-A0B6-E4D8BE0C4CFF}">
  <ds:schemaRefs/>
</ds:datastoreItem>
</file>

<file path=customXml/itemProps18.xml><?xml version="1.0" encoding="utf-8"?>
<ds:datastoreItem xmlns:ds="http://schemas.openxmlformats.org/officeDocument/2006/customXml" ds:itemID="{F67D83FD-27AF-472A-9F63-397DCDD4B71B}">
  <ds:schemaRefs/>
</ds:datastoreItem>
</file>

<file path=customXml/itemProps19.xml><?xml version="1.0" encoding="utf-8"?>
<ds:datastoreItem xmlns:ds="http://schemas.openxmlformats.org/officeDocument/2006/customXml" ds:itemID="{BB57F8A6-110F-468B-BCB3-1B3543874935}">
  <ds:schemaRefs/>
</ds:datastoreItem>
</file>

<file path=customXml/itemProps20.xml><?xml version="1.0" encoding="utf-8"?>
<ds:datastoreItem xmlns:ds="http://schemas.openxmlformats.org/officeDocument/2006/customXml" ds:itemID="{904F771F-709A-4339-AF1E-BE023CBED266}">
  <ds:schemaRefs/>
</ds:datastoreItem>
</file>

<file path=customXml/itemProps21.xml><?xml version="1.0" encoding="utf-8"?>
<ds:datastoreItem xmlns:ds="http://schemas.openxmlformats.org/officeDocument/2006/customXml" ds:itemID="{CB2779C4-5862-4910-B317-0EADB3D832C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Customers</vt:lpstr>
      <vt:lpstr>Orders</vt:lpstr>
      <vt:lpstr>Order details</vt:lpstr>
      <vt:lpstr>Payments</vt:lpstr>
      <vt:lpstr>Products</vt:lpstr>
      <vt:lpstr>Dashboard</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nidhijamgade@outlook.com</dc:creator>
  <cp:lastModifiedBy>nidhijamgade@outlook.com</cp:lastModifiedBy>
  <dcterms:created xsi:type="dcterms:W3CDTF">2026-08-31T13:06:34Z</dcterms:created>
  <dcterms:modified xsi:type="dcterms:W3CDTF">2026-09-04T06:59:18Z</dcterms:modified>
</cp:coreProperties>
</file>